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ITechRepo-master\ITechRepo-master\ITech\"/>
    </mc:Choice>
  </mc:AlternateContent>
  <xr:revisionPtr revIDLastSave="0" documentId="13_ncr:1_{4E19B91B-60CA-47FD-A16E-A0C79803BB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1" i="1" l="1"/>
  <c r="E61" i="1" s="1"/>
  <c r="A60" i="1"/>
  <c r="A59" i="1"/>
  <c r="F59" i="1" s="1"/>
  <c r="A58" i="1"/>
  <c r="C58" i="1" s="1"/>
  <c r="A57" i="1"/>
  <c r="A56" i="1"/>
  <c r="A55" i="1"/>
  <c r="F55" i="1" s="1"/>
  <c r="A54" i="1"/>
  <c r="C54" i="1" s="1"/>
  <c r="A53" i="1"/>
  <c r="A52" i="1"/>
  <c r="A51" i="1"/>
  <c r="F51" i="1" s="1"/>
  <c r="A50" i="1"/>
  <c r="C50" i="1" s="1"/>
  <c r="A49" i="1"/>
  <c r="A48" i="1"/>
  <c r="A47" i="1"/>
  <c r="A46" i="1"/>
  <c r="A45" i="1"/>
  <c r="A44" i="1"/>
  <c r="A43" i="1"/>
  <c r="A42" i="1"/>
  <c r="A41" i="1"/>
  <c r="A40" i="1"/>
  <c r="A39" i="1"/>
  <c r="A38" i="1"/>
  <c r="E38" i="1" s="1"/>
  <c r="A37" i="1"/>
  <c r="A36" i="1"/>
  <c r="A35" i="1"/>
  <c r="D35" i="1" s="1"/>
  <c r="A34" i="1"/>
  <c r="A33" i="1"/>
  <c r="F33" i="1" s="1"/>
  <c r="B34" i="1" l="1"/>
  <c r="F34" i="1"/>
  <c r="E34" i="1"/>
  <c r="D34" i="1"/>
  <c r="C34" i="1"/>
  <c r="B36" i="1"/>
  <c r="D36" i="1"/>
  <c r="C36" i="1"/>
  <c r="C40" i="1"/>
  <c r="E40" i="1"/>
  <c r="D40" i="1"/>
  <c r="F41" i="1"/>
  <c r="G41" i="1"/>
  <c r="C44" i="1"/>
  <c r="G44" i="1"/>
  <c r="F44" i="1"/>
  <c r="E44" i="1"/>
  <c r="D44" i="1"/>
  <c r="C45" i="1"/>
  <c r="I48" i="1"/>
  <c r="G48" i="1"/>
  <c r="F48" i="1"/>
  <c r="E48" i="1"/>
  <c r="D48" i="1"/>
  <c r="F49" i="1"/>
  <c r="I49" i="1"/>
  <c r="H49" i="1"/>
  <c r="G49" i="1"/>
  <c r="I52" i="1"/>
  <c r="G52" i="1"/>
  <c r="F52" i="1"/>
  <c r="E52" i="1"/>
  <c r="D52" i="1"/>
  <c r="F53" i="1"/>
  <c r="I53" i="1"/>
  <c r="H53" i="1"/>
  <c r="G53" i="1"/>
  <c r="C53" i="1"/>
  <c r="I56" i="1"/>
  <c r="G56" i="1"/>
  <c r="F56" i="1"/>
  <c r="E56" i="1"/>
  <c r="D56" i="1"/>
  <c r="F57" i="1"/>
  <c r="I57" i="1"/>
  <c r="H57" i="1"/>
  <c r="G57" i="1"/>
  <c r="C57" i="1"/>
  <c r="I60" i="1"/>
  <c r="F60" i="1"/>
  <c r="E60" i="1"/>
  <c r="D60" i="1"/>
  <c r="G61" i="1"/>
  <c r="H61" i="1"/>
  <c r="F61" i="1"/>
  <c r="I61" i="1"/>
  <c r="B61" i="1"/>
  <c r="C61" i="1"/>
  <c r="D61" i="1"/>
  <c r="C51" i="1"/>
  <c r="C59" i="1"/>
  <c r="D47" i="1"/>
  <c r="D50" i="1"/>
  <c r="G51" i="1"/>
  <c r="D54" i="1"/>
  <c r="G55" i="1"/>
  <c r="D58" i="1"/>
  <c r="G59" i="1"/>
  <c r="B49" i="1"/>
  <c r="E50" i="1"/>
  <c r="H51" i="1"/>
  <c r="B53" i="1"/>
  <c r="E54" i="1"/>
  <c r="H55" i="1"/>
  <c r="B57" i="1"/>
  <c r="E58" i="1"/>
  <c r="H59" i="1"/>
  <c r="I55" i="1"/>
  <c r="G50" i="1"/>
  <c r="D53" i="1"/>
  <c r="G54" i="1"/>
  <c r="B47" i="1"/>
  <c r="B59" i="1"/>
  <c r="C55" i="1"/>
  <c r="D55" i="1"/>
  <c r="C49" i="1"/>
  <c r="F50" i="1"/>
  <c r="I51" i="1"/>
  <c r="F54" i="1"/>
  <c r="B48" i="1"/>
  <c r="E49" i="1"/>
  <c r="H50" i="1"/>
  <c r="B52" i="1"/>
  <c r="E53" i="1"/>
  <c r="H54" i="1"/>
  <c r="B56" i="1"/>
  <c r="E57" i="1"/>
  <c r="H58" i="1"/>
  <c r="B60" i="1"/>
  <c r="C47" i="1"/>
  <c r="F58" i="1"/>
  <c r="I59" i="1"/>
  <c r="D49" i="1"/>
  <c r="D57" i="1"/>
  <c r="G58" i="1"/>
  <c r="C48" i="1"/>
  <c r="I50" i="1"/>
  <c r="C52" i="1"/>
  <c r="I54" i="1"/>
  <c r="C56" i="1"/>
  <c r="I58" i="1"/>
  <c r="C60" i="1"/>
  <c r="B51" i="1"/>
  <c r="B55" i="1"/>
  <c r="D51" i="1"/>
  <c r="D59" i="1"/>
  <c r="G60" i="1"/>
  <c r="E47" i="1"/>
  <c r="H48" i="1"/>
  <c r="B50" i="1"/>
  <c r="E51" i="1"/>
  <c r="H52" i="1"/>
  <c r="B54" i="1"/>
  <c r="E55" i="1"/>
  <c r="H56" i="1"/>
  <c r="B58" i="1"/>
  <c r="E59" i="1"/>
  <c r="H60" i="1"/>
  <c r="B46" i="1"/>
  <c r="D42" i="1"/>
  <c r="G43" i="1"/>
  <c r="B41" i="1"/>
  <c r="B45" i="1"/>
  <c r="B43" i="1"/>
  <c r="C43" i="1"/>
  <c r="B42" i="1"/>
  <c r="D41" i="1"/>
  <c r="D45" i="1"/>
  <c r="E41" i="1"/>
  <c r="B44" i="1"/>
  <c r="D43" i="1"/>
  <c r="E43" i="1"/>
  <c r="C42" i="1"/>
  <c r="F43" i="1"/>
  <c r="C41" i="1"/>
  <c r="B40" i="1"/>
  <c r="B39" i="1"/>
  <c r="C39" i="1"/>
  <c r="D39" i="1"/>
  <c r="E39" i="1"/>
  <c r="F39" i="1"/>
  <c r="F38" i="1"/>
  <c r="B38" i="1"/>
  <c r="C38" i="1"/>
  <c r="D38" i="1"/>
  <c r="B37" i="1"/>
  <c r="C37" i="1"/>
  <c r="D37" i="1"/>
  <c r="E37" i="1"/>
  <c r="F37" i="1"/>
  <c r="G37" i="1"/>
  <c r="E36" i="1"/>
  <c r="F36" i="1"/>
  <c r="G36" i="1"/>
  <c r="H36" i="1"/>
  <c r="I36" i="1"/>
  <c r="E35" i="1"/>
  <c r="B35" i="1"/>
  <c r="C35" i="1"/>
  <c r="B33" i="1"/>
  <c r="C33" i="1"/>
  <c r="D33" i="1"/>
  <c r="E33" i="1"/>
  <c r="A32" i="1"/>
  <c r="D32" i="1" s="1"/>
  <c r="B32" i="1" l="1"/>
  <c r="E32" i="1"/>
  <c r="F32" i="1"/>
  <c r="C32" i="1"/>
  <c r="A3" i="1"/>
  <c r="B3" i="1" s="1"/>
  <c r="A31" i="1"/>
  <c r="I31" i="1" l="1"/>
  <c r="A30" i="1"/>
  <c r="A29" i="1"/>
  <c r="A28" i="1"/>
  <c r="A27" i="1"/>
  <c r="A26" i="1"/>
  <c r="A25" i="1"/>
  <c r="A24" i="1"/>
  <c r="A23" i="1"/>
  <c r="A22" i="1"/>
  <c r="B22" i="1" s="1"/>
  <c r="A21" i="1"/>
  <c r="A20" i="1"/>
  <c r="D20" i="1" s="1"/>
  <c r="A19" i="1"/>
  <c r="A18" i="1"/>
  <c r="A17" i="1"/>
  <c r="D17" i="1" s="1"/>
  <c r="A16" i="1"/>
  <c r="A15" i="1"/>
  <c r="A14" i="1"/>
  <c r="B14" i="1" s="1"/>
  <c r="A13" i="1"/>
  <c r="A12" i="1"/>
  <c r="B12" i="1" s="1"/>
  <c r="A11" i="1"/>
  <c r="B11" i="1" s="1"/>
  <c r="A10" i="1"/>
  <c r="A9" i="1"/>
  <c r="F9" i="1" s="1"/>
  <c r="A8" i="1"/>
  <c r="A7" i="1"/>
  <c r="B7" i="1" s="1"/>
  <c r="A6" i="1"/>
  <c r="A5" i="1"/>
  <c r="E5" i="1" s="1"/>
  <c r="A4" i="1"/>
  <c r="F4" i="1" s="1"/>
  <c r="F3" i="1"/>
  <c r="E3" i="1"/>
  <c r="D3" i="1"/>
  <c r="C3" i="1"/>
  <c r="A2" i="1"/>
  <c r="B2" i="1" s="1"/>
  <c r="C4" i="1" l="1"/>
  <c r="C5" i="1"/>
  <c r="F5" i="1"/>
  <c r="F10" i="1"/>
  <c r="E10" i="1"/>
  <c r="B10" i="1"/>
  <c r="F19" i="1"/>
  <c r="E19" i="1"/>
  <c r="D19" i="1"/>
  <c r="F21" i="1"/>
  <c r="E21" i="1"/>
  <c r="F23" i="1"/>
  <c r="E23" i="1"/>
  <c r="B23" i="1"/>
  <c r="F24" i="1"/>
  <c r="B24" i="1"/>
  <c r="C28" i="1"/>
  <c r="D28" i="1"/>
  <c r="I29" i="1"/>
  <c r="H29" i="1"/>
  <c r="D29" i="1"/>
  <c r="F31" i="1"/>
  <c r="G31" i="1"/>
  <c r="H31" i="1"/>
  <c r="B31" i="1"/>
  <c r="C31" i="1"/>
  <c r="D31" i="1"/>
  <c r="E31" i="1"/>
  <c r="C25" i="1"/>
  <c r="C15" i="1"/>
  <c r="F25" i="1"/>
  <c r="C17" i="1"/>
  <c r="C29" i="1"/>
  <c r="F14" i="1"/>
  <c r="F26" i="1"/>
  <c r="G29" i="1"/>
  <c r="B25" i="1"/>
  <c r="B15" i="1"/>
  <c r="B27" i="1"/>
  <c r="D21" i="1"/>
  <c r="E24" i="1"/>
  <c r="F27" i="1"/>
  <c r="C26" i="1"/>
  <c r="D4" i="1"/>
  <c r="B4" i="1"/>
  <c r="B16" i="1"/>
  <c r="B28" i="1"/>
  <c r="C19" i="1"/>
  <c r="D10" i="1"/>
  <c r="E25" i="1"/>
  <c r="G19" i="1"/>
  <c r="B26" i="1"/>
  <c r="D5" i="1"/>
  <c r="B5" i="1"/>
  <c r="B17" i="1"/>
  <c r="B29" i="1"/>
  <c r="C20" i="1"/>
  <c r="D23" i="1"/>
  <c r="E14" i="1"/>
  <c r="E26" i="1"/>
  <c r="F17" i="1"/>
  <c r="F29" i="1"/>
  <c r="C14" i="1"/>
  <c r="B6" i="1"/>
  <c r="B18" i="1"/>
  <c r="B30" i="1"/>
  <c r="C21" i="1"/>
  <c r="D24" i="1"/>
  <c r="E27" i="1"/>
  <c r="B13" i="1"/>
  <c r="B19" i="1"/>
  <c r="C10" i="1"/>
  <c r="C22" i="1"/>
  <c r="D25" i="1"/>
  <c r="C27" i="1"/>
  <c r="E4" i="1"/>
  <c r="B8" i="1"/>
  <c r="B20" i="1"/>
  <c r="C23" i="1"/>
  <c r="D14" i="1"/>
  <c r="D26" i="1"/>
  <c r="E17" i="1"/>
  <c r="E29" i="1"/>
  <c r="B9" i="1"/>
  <c r="B21" i="1"/>
  <c r="C24" i="1"/>
  <c r="D15" i="1"/>
  <c r="D27" i="1"/>
  <c r="E9" i="1"/>
  <c r="E7" i="1"/>
  <c r="D7" i="1"/>
  <c r="C9" i="1"/>
  <c r="D9" i="1"/>
  <c r="F7" i="1"/>
  <c r="C7" i="1"/>
  <c r="C2" i="1"/>
  <c r="D2" i="1"/>
</calcChain>
</file>

<file path=xl/sharedStrings.xml><?xml version="1.0" encoding="utf-8"?>
<sst xmlns="http://schemas.openxmlformats.org/spreadsheetml/2006/main" count="330" uniqueCount="127">
  <si>
    <t>ITSIN</t>
  </si>
  <si>
    <t>Image1Name</t>
  </si>
  <si>
    <t>Image2Name</t>
  </si>
  <si>
    <t>Image3Name</t>
  </si>
  <si>
    <t>Image4Name</t>
  </si>
  <si>
    <t>Image5Name</t>
  </si>
  <si>
    <t>Image6Name</t>
  </si>
  <si>
    <t>Image7Name</t>
  </si>
  <si>
    <t>Image8Name</t>
  </si>
  <si>
    <t>Title</t>
  </si>
  <si>
    <t>Brand</t>
  </si>
  <si>
    <t>Price</t>
  </si>
  <si>
    <t>ShortDescription</t>
  </si>
  <si>
    <t>CategoryId</t>
  </si>
  <si>
    <t>empty</t>
  </si>
  <si>
    <t>realme Realme C11(2021)</t>
  </si>
  <si>
    <t>realme</t>
  </si>
  <si>
    <t>Realme C11(2021)- 6.52-inch 32GB/2GB Dual SIM 4G Mobile Phone - Iron Grey</t>
  </si>
  <si>
    <t>Infinix X657B Smart 5</t>
  </si>
  <si>
    <t>Infinix</t>
  </si>
  <si>
    <t>6.6-inch 64GB/3GB Dual SIM 4G Mobile Phone - Midnight Black</t>
  </si>
  <si>
    <t>Samsung Galaxy A12</t>
  </si>
  <si>
    <t>Samsung</t>
  </si>
  <si>
    <t>6.5-inch 64GB/4GB Dual SIM Mobile Phone - Blacl</t>
  </si>
  <si>
    <t>XIAOMI Redmi 10</t>
  </si>
  <si>
    <t>XIAOMI</t>
  </si>
  <si>
    <t>6.5-inch 128GB/4GB Dual SIM Mobile Phone - Carbon Gray</t>
  </si>
  <si>
    <t>Samsung A12</t>
  </si>
  <si>
    <t>6.5-inch 4GB RAM - 128GB Mobile Phone- Bluy</t>
  </si>
  <si>
    <t>XIAOMI Redmi 9T</t>
  </si>
  <si>
    <t>6.53-inch 128GB/6GB Dual SIM Mobile Phone - Ocean Green</t>
  </si>
  <si>
    <t>Alcatel 3x</t>
  </si>
  <si>
    <t>Alcatel</t>
  </si>
  <si>
    <t>5048U - 6.52-inch 128GB/6GB Dual SIM 4G Mobile Phone - Jewelry Black</t>
  </si>
  <si>
    <t>XIAOMI Poco F3</t>
  </si>
  <si>
    <t>6.67-inch 128GB/6GB 5G Dual SIM Mobile Phone - Night Black</t>
  </si>
  <si>
    <t>XIAOMI Redmi Note 10S</t>
  </si>
  <si>
    <t>6.43-inch 128GB/8GB Dual Sim 4G Mobile Phone - Onyx Gray</t>
  </si>
  <si>
    <t>A52s 5G</t>
  </si>
  <si>
    <t>6.5 inches 1080 x 2400 pixels</t>
  </si>
  <si>
    <t>Samsung Galaxy A52s</t>
  </si>
  <si>
    <t>6.5-inch 128GB/8GB Dual Sim 5G Mobile Phone - Awesome Viole</t>
  </si>
  <si>
    <t>realme C11</t>
  </si>
  <si>
    <t>6.52-inch 32GB/2GB Dual SIM 4G Mobile Phone - Lake Bluk</t>
  </si>
  <si>
    <t>OPPO A16</t>
  </si>
  <si>
    <t>OPPO</t>
  </si>
  <si>
    <t>6.52-inch 64GB/4GB Dual SIM 4G Mobile Phone - pearl blue</t>
  </si>
  <si>
    <t>iPhone 13 Pro Max</t>
  </si>
  <si>
    <t>iPhone</t>
  </si>
  <si>
    <t>Max Dual SIM with FaceTime - 256GB - Sierra Blu</t>
  </si>
  <si>
    <t>Samsung Galaxy A72</t>
  </si>
  <si>
    <t>6.7-inch 256GB/8GB Dual SIM Mobile Phone - Awesome Black</t>
  </si>
  <si>
    <t>TCL 10 Plus</t>
  </si>
  <si>
    <t>TCL</t>
  </si>
  <si>
    <t>6.47 Inch Dual SIM 4G 256GB/6GB Mobile Phone - Moonlight Blue</t>
  </si>
  <si>
    <t>Samsung Galaxy A32</t>
  </si>
  <si>
    <t>6.4-inch 128GB/6GB Dual SIM Mobile Phone - Awesome Blue</t>
  </si>
  <si>
    <t>OPPO Reno 6</t>
  </si>
  <si>
    <t>6.4-inch 128GB/8GB Dual SIM 4G Mobile Phone - Stellar Black</t>
  </si>
  <si>
    <t>iPhone 11</t>
  </si>
  <si>
    <t>(Product)Red</t>
  </si>
  <si>
    <t>nova 7 5G</t>
  </si>
  <si>
    <t>Huawei</t>
  </si>
  <si>
    <t>6.53-inch 256GB/8GB Mobile Phone - Space Silver</t>
  </si>
  <si>
    <t>HP Laptop 250 G8</t>
  </si>
  <si>
    <t>HP</t>
  </si>
  <si>
    <t>Intel Core I3-1005G1- RAM 4GB -1TB HDD- INTEL GRAPHICS -15.6" HD - DOS</t>
  </si>
  <si>
    <t>V15-IIL laptop</t>
  </si>
  <si>
    <t>Lenovo </t>
  </si>
  <si>
    <t>10th intel core i3-1005G1 - 4 GB RAM - 1 TB HDD - Intel UHD GPU - 15.6 inch FHD - Dos,Iron</t>
  </si>
  <si>
    <t>DELL Vostro 3500 laptop</t>
  </si>
  <si>
    <t>DELL</t>
  </si>
  <si>
    <t>11th Intel core i5-1135G7 - 8GB RAM - 1TB HDD - Nvidia GeForce MX330 GPU - 15.6 Inch HD - Ubuntu</t>
  </si>
  <si>
    <t>HP 245 G7 Laptop</t>
  </si>
  <si>
    <t>AMD Ryzen 3 3300- 4GB RAM - 1TB HDD - 14-inch HD - AMD GPU - Windows 10 Home</t>
  </si>
  <si>
    <t>DELL Latitude 15-3510 Laptop</t>
  </si>
  <si>
    <t>Intel Core I5 - 8GB RAM - 1TB HDD - 15.6-inch HD - 2GB GPU - Ubuntu - Gre</t>
  </si>
  <si>
    <t>HP ProBook 450 G7 Laptop</t>
  </si>
  <si>
    <t>ntel Core I7 - 8GB RAM - 1TB HDD - 15.6-inch HD - 2GB GPU - Windows 10 Pro - Natural Silver</t>
  </si>
  <si>
    <t>Lenovo IdeaPad 3</t>
  </si>
  <si>
    <t>Lenovo</t>
  </si>
  <si>
    <t> Intel Core I3 - 4GB RAM - 1TB HDD - 15.6-inch FHD - 2GB GPU - DOS</t>
  </si>
  <si>
    <t>Lenovo IP 5 15IIL05</t>
  </si>
  <si>
    <t>INTEL I7-1165G7 -1TB + 256GB SSD - 8GB RAM -Intel IRIS XE - DOS - GRAPHITE GRE</t>
  </si>
  <si>
    <t>LAPTOP-250-G7-Core</t>
  </si>
  <si>
    <t>i5-1035G1, 8GB, 1 TB HDD, 15.6" HD, Vga Nvidia MX110-2GB, Dark Ash silver 3Y</t>
  </si>
  <si>
    <t>K513EA-BQ913T Laptop</t>
  </si>
  <si>
    <t>Asus</t>
  </si>
  <si>
    <t>Intel Core I3-1115G4 - RAM 4GB - 256GB SSD - Intel UHD Graphics - 15.6-Inch FHD</t>
  </si>
  <si>
    <t>IdeaPad</t>
  </si>
  <si>
    <t> Gaming 3 Intel Core I7- 8GB RAM - 256GB SSD+1TB HDD - 15.6" FHD IPS 120Hz - NVIDIA RTX 3050 4GB Win 10 Blac</t>
  </si>
  <si>
    <t>250 G7 Laptop</t>
  </si>
  <si>
    <t>Intel Core I5-1035G1 - 8GB RAM - 1TB HDD - Intel UHD GPU - 15.6 Inch HD - DOS - Dark Ash Silver</t>
  </si>
  <si>
    <t> 250 G7 </t>
  </si>
  <si>
    <t>Hp</t>
  </si>
  <si>
    <t> Intel Core I7 - 8GB RAM - 1TB HDD - 15.6-inch HD - Intel GPU - Windows 10 - Dark Ash Silver</t>
  </si>
  <si>
    <t>HP </t>
  </si>
  <si>
    <t>15-dW3028ne Laptop</t>
  </si>
  <si>
    <r>
      <t> </t>
    </r>
    <r>
      <rPr>
        <sz val="8"/>
        <color rgb="FF282828"/>
        <rFont val="Roboto"/>
      </rPr>
      <t>Intel Core I3 - 4GB RAM - 1TB HDD - 15.6-inch HD - Intel GPU - Jet Black</t>
    </r>
  </si>
  <si>
    <t>ThinkBook 15 Laptop</t>
  </si>
  <si>
    <t> 15 Laptop - Intel Core I7-1065G7 - 16GB RAM - 512SSD - 15.6-inch FHD - Intel Iris Plus GPU - DOS - Mineral Grey</t>
  </si>
  <si>
    <t>Vostro 3500 Laptop</t>
  </si>
  <si>
    <t>11th Intel Core I7-1165G7 - 8GB RAM - 512 SSD - 2GB GPU - 15.6 Inch FHD - Ubuntu - Black</t>
  </si>
  <si>
    <t>14S-CF Laptop</t>
  </si>
  <si>
    <t>Intel Celeron - 4GB RAM - 64GB EMMC - 14-inch HD - Intel GPU - Windows 10 - Silver</t>
  </si>
  <si>
    <t>IdeaPad L3 Laptop</t>
  </si>
  <si>
    <t>Intel Core I5 - 8GB RAM - 1TB HDD - 15.6-inch FHD - 2GB GPU - DOS - Platinum Grey</t>
  </si>
  <si>
    <t>Vostro 3500</t>
  </si>
  <si>
    <t>DELL </t>
  </si>
  <si>
    <t>Intel Core I7 - 16GB RAM - 1TB HDD - 512GB SSD - 15.6-inch FHD - 2GB GPU - Windows 10 Pro - Black</t>
  </si>
  <si>
    <t>PROBOOK 450 G8 </t>
  </si>
  <si>
    <t>INTEL CORE I7 -1165G7 - 8GB RAM - 512GB SSD - NVIDIA MX450 2GB - Windows 11 Pro -Silver</t>
  </si>
  <si>
    <t>Redmi 9A</t>
  </si>
  <si>
    <t>XIAOMI </t>
  </si>
  <si>
    <t>6.53-inch 32GB/2GB Dual Sim 4G Mobile Phone - Granite Grey</t>
  </si>
  <si>
    <t>Redmi Note 10S</t>
  </si>
  <si>
    <t>6.43-inch 128GB/6GB Dual Sim 4G Mobile Phone - Onyx Gray</t>
  </si>
  <si>
    <t>Redmi 10</t>
  </si>
  <si>
    <t>6.5-inch 128GB/6GB Dual SIM Mobile Phone - Sea Blue</t>
  </si>
  <si>
    <t>X657C Smart 5</t>
  </si>
  <si>
    <t>Infinix </t>
  </si>
  <si>
    <t>6.6-inch 32GB/2GB Dual SIM 4G Mobile Phone - Quetzal Cyan</t>
  </si>
  <si>
    <t>Galaxy A72</t>
  </si>
  <si>
    <t>Samsung </t>
  </si>
  <si>
    <t>6.7-inch 128GB/8GB Dual Sim 4G Mobile Phone - Awesome Violet</t>
  </si>
  <si>
    <t>Poco X3 Pro</t>
  </si>
  <si>
    <t>6.67-inch 256GB/8GB Dual Sim Mobile Phone - Frost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</si>
</sst>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525960"/>
      <name val="Segoe UI"/>
      <family val="2"/>
    </font>
    <font>
      <sz val="14"/>
      <color rgb="FF282828"/>
      <name val="Segoe UI"/>
      <family val="2"/>
    </font>
    <font>
      <sz val="10"/>
      <color rgb="FF282828"/>
      <name val="Segoe UI"/>
      <family val="2"/>
    </font>
    <font>
      <sz val="9"/>
      <color rgb="FF282828"/>
      <name val="Segoe UI"/>
      <family val="2"/>
    </font>
    <font>
      <sz val="8"/>
      <color rgb="FF282828"/>
      <name val="Segoe U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282828"/>
      <name val="Segoe UI"/>
      <family val="2"/>
    </font>
    <font>
      <sz val="8"/>
      <color rgb="FF282828"/>
      <name val="Roboto"/>
    </font>
    <font>
      <b/>
      <sz val="18"/>
      <color rgb="FF282828"/>
      <name val="Roboto"/>
    </font>
    <font>
      <b/>
      <sz val="8"/>
      <color rgb="FF282828"/>
      <name val="Roboto"/>
    </font>
    <font>
      <sz val="11"/>
      <color rgb="FF282828"/>
      <name val="Roboto"/>
    </font>
    <font>
      <b/>
      <sz val="11"/>
      <color rgb="FF282828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1" fillId="0" borderId="0" xfId="0" applyFon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8" fillId="0" borderId="0" xfId="1" applyFont="1"/>
    <xf numFmtId="3" fontId="9" fillId="0" borderId="0" xfId="0" applyNumberFormat="1" applyFont="1"/>
    <xf numFmtId="3" fontId="3" fillId="0" borderId="0" xfId="0" applyNumberFormat="1" applyFont="1"/>
    <xf numFmtId="3" fontId="4" fillId="0" borderId="0" xfId="0" applyNumberFormat="1" applyFont="1"/>
    <xf numFmtId="0" fontId="6" fillId="0" borderId="0" xfId="0" applyFont="1"/>
    <xf numFmtId="0" fontId="10" fillId="0" borderId="0" xfId="0" applyFont="1" applyAlignment="1">
      <alignment vertical="center" wrapText="1"/>
    </xf>
    <xf numFmtId="3" fontId="11" fillId="0" borderId="0" xfId="0" applyNumberFormat="1" applyFont="1"/>
    <xf numFmtId="3" fontId="12" fillId="0" borderId="0" xfId="0" applyNumberFormat="1" applyFont="1"/>
    <xf numFmtId="0" fontId="0" fillId="0" borderId="0" xfId="0" applyFont="1"/>
    <xf numFmtId="0" fontId="13" fillId="0" borderId="0" xfId="0" applyFont="1" applyAlignment="1">
      <alignment vertical="center" wrapText="1"/>
    </xf>
    <xf numFmtId="3" fontId="14" fillId="0" borderId="0" xfId="0" applyNumberFormat="1" applyFont="1"/>
    <xf numFmtId="4" fontId="1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jumia.com.eg/ar/realm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topLeftCell="A39" zoomScaleNormal="100" workbookViewId="0">
      <selection activeCell="O43" sqref="O43"/>
    </sheetView>
  </sheetViews>
  <sheetFormatPr defaultRowHeight="16.5" x14ac:dyDescent="0.3"/>
  <cols>
    <col min="1" max="1" width="12" style="1" customWidth="1"/>
    <col min="2" max="2" width="15" customWidth="1"/>
    <col min="3" max="3" width="15.42578125" customWidth="1"/>
    <col min="4" max="4" width="15.5703125" customWidth="1"/>
    <col min="5" max="5" width="15.85546875" customWidth="1"/>
    <col min="6" max="6" width="15.5703125" customWidth="1"/>
    <col min="7" max="7" width="15.7109375" customWidth="1"/>
    <col min="8" max="8" width="15.140625" customWidth="1"/>
    <col min="9" max="9" width="14.5703125" customWidth="1"/>
    <col min="11" max="11" width="7.5703125" customWidth="1"/>
    <col min="12" max="12" width="15.5703125" bestFit="1" customWidth="1"/>
    <col min="13" max="13" width="21" customWidth="1"/>
  </cols>
  <sheetData>
    <row r="1" spans="1:14" ht="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42" x14ac:dyDescent="0.25">
      <c r="A2" t="str">
        <f>CONCATENATE("IT-CSV-",ROW()-1)</f>
        <v>IT-CSV-1</v>
      </c>
      <c r="B2" t="str">
        <f t="shared" ref="B2:B31" si="0">CONCATENATE(A2,"-img-",1)</f>
        <v>IT-CSV-1-img-1</v>
      </c>
      <c r="C2" t="str">
        <f t="shared" ref="C2:C31" si="1">CONCATENATE(A2,"-img-",2)</f>
        <v>IT-CSV-1-img-2</v>
      </c>
      <c r="D2" t="str">
        <f t="shared" ref="D2:D31" si="2">CONCATENATE(A2,"-img-",3)</f>
        <v>IT-CSV-1-img-3</v>
      </c>
      <c r="E2" t="s">
        <v>14</v>
      </c>
      <c r="F2" t="s">
        <v>14</v>
      </c>
      <c r="G2" t="s">
        <v>14</v>
      </c>
      <c r="H2" t="s">
        <v>14</v>
      </c>
      <c r="I2" t="s">
        <v>14</v>
      </c>
      <c r="J2" s="4" t="s">
        <v>15</v>
      </c>
      <c r="K2" s="5" t="s">
        <v>16</v>
      </c>
      <c r="L2" s="8">
        <v>1985</v>
      </c>
      <c r="M2" s="4" t="s">
        <v>17</v>
      </c>
      <c r="N2">
        <v>1</v>
      </c>
    </row>
    <row r="3" spans="1:14" ht="31.5" x14ac:dyDescent="0.25">
      <c r="A3" t="str">
        <f>CONCATENATE("IT-CSV-",ROW()-1)</f>
        <v>IT-CSV-2</v>
      </c>
      <c r="B3" t="str">
        <f t="shared" si="0"/>
        <v>IT-CSV-2-img-1</v>
      </c>
      <c r="C3" t="str">
        <f t="shared" si="1"/>
        <v>IT-CSV-2-img-2</v>
      </c>
      <c r="D3" t="str">
        <f t="shared" si="2"/>
        <v>IT-CSV-2-img-3</v>
      </c>
      <c r="E3" t="str">
        <f t="shared" ref="E3:E31" si="3">CONCATENATE(A3,"-img-",4)</f>
        <v>IT-CSV-2-img-4</v>
      </c>
      <c r="F3" t="str">
        <f t="shared" ref="F3:F31" si="4">CONCATENATE(A3,"-img-",5)</f>
        <v>IT-CSV-2-img-5</v>
      </c>
      <c r="G3" t="s">
        <v>14</v>
      </c>
      <c r="H3" t="s">
        <v>14</v>
      </c>
      <c r="I3" t="s">
        <v>14</v>
      </c>
      <c r="J3" s="4" t="s">
        <v>18</v>
      </c>
      <c r="K3" t="s">
        <v>19</v>
      </c>
      <c r="L3" s="8">
        <v>2055</v>
      </c>
      <c r="M3" s="4" t="s">
        <v>20</v>
      </c>
      <c r="N3">
        <v>1</v>
      </c>
    </row>
    <row r="4" spans="1:14" ht="24" x14ac:dyDescent="0.35">
      <c r="A4" t="str">
        <f t="shared" ref="A4:A30" si="5">CONCATENATE("IT-CSV-",ROW()-1)</f>
        <v>IT-CSV-3</v>
      </c>
      <c r="B4" t="str">
        <f t="shared" si="0"/>
        <v>IT-CSV-3-img-1</v>
      </c>
      <c r="C4" t="str">
        <f t="shared" si="1"/>
        <v>IT-CSV-3-img-2</v>
      </c>
      <c r="D4" t="str">
        <f t="shared" si="2"/>
        <v>IT-CSV-3-img-3</v>
      </c>
      <c r="E4" t="str">
        <f t="shared" si="3"/>
        <v>IT-CSV-3-img-4</v>
      </c>
      <c r="F4" t="str">
        <f t="shared" si="4"/>
        <v>IT-CSV-3-img-5</v>
      </c>
      <c r="G4" t="s">
        <v>14</v>
      </c>
      <c r="H4" t="s">
        <v>14</v>
      </c>
      <c r="I4" t="s">
        <v>14</v>
      </c>
      <c r="J4" s="4" t="s">
        <v>21</v>
      </c>
      <c r="K4" s="3" t="s">
        <v>22</v>
      </c>
      <c r="L4" s="7">
        <v>2760</v>
      </c>
      <c r="M4" s="4" t="s">
        <v>23</v>
      </c>
      <c r="N4">
        <v>1</v>
      </c>
    </row>
    <row r="5" spans="1:14" ht="31.5" x14ac:dyDescent="0.35">
      <c r="A5" t="str">
        <f t="shared" si="5"/>
        <v>IT-CSV-4</v>
      </c>
      <c r="B5" t="str">
        <f t="shared" si="0"/>
        <v>IT-CSV-4-img-1</v>
      </c>
      <c r="C5" t="str">
        <f t="shared" si="1"/>
        <v>IT-CSV-4-img-2</v>
      </c>
      <c r="D5" t="str">
        <f t="shared" si="2"/>
        <v>IT-CSV-4-img-3</v>
      </c>
      <c r="E5" t="str">
        <f t="shared" si="3"/>
        <v>IT-CSV-4-img-4</v>
      </c>
      <c r="F5" t="str">
        <f t="shared" si="4"/>
        <v>IT-CSV-4-img-5</v>
      </c>
      <c r="G5" t="s">
        <v>14</v>
      </c>
      <c r="H5" t="s">
        <v>14</v>
      </c>
      <c r="I5" t="s">
        <v>14</v>
      </c>
      <c r="J5" s="4" t="s">
        <v>24</v>
      </c>
      <c r="K5" t="s">
        <v>25</v>
      </c>
      <c r="L5" s="6">
        <v>3377</v>
      </c>
      <c r="M5" s="4" t="s">
        <v>26</v>
      </c>
      <c r="N5">
        <v>1</v>
      </c>
    </row>
    <row r="6" spans="1:14" ht="24" x14ac:dyDescent="0.35">
      <c r="A6" t="str">
        <f t="shared" si="5"/>
        <v>IT-CSV-5</v>
      </c>
      <c r="B6" t="str">
        <f t="shared" si="0"/>
        <v>IT-CSV-5-img-1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s="3" t="s">
        <v>27</v>
      </c>
      <c r="K6" t="s">
        <v>22</v>
      </c>
      <c r="L6" s="6">
        <v>3130</v>
      </c>
      <c r="M6" s="4" t="s">
        <v>28</v>
      </c>
      <c r="N6">
        <v>1</v>
      </c>
    </row>
    <row r="7" spans="1:14" ht="31.5" x14ac:dyDescent="0.35">
      <c r="A7" t="str">
        <f t="shared" si="5"/>
        <v>IT-CSV-6</v>
      </c>
      <c r="B7" t="str">
        <f>CONCATENATE(A7,"-img-",1)</f>
        <v>IT-CSV-6-img-1</v>
      </c>
      <c r="C7" t="str">
        <f t="shared" si="1"/>
        <v>IT-CSV-6-img-2</v>
      </c>
      <c r="D7" t="str">
        <f t="shared" si="2"/>
        <v>IT-CSV-6-img-3</v>
      </c>
      <c r="E7" t="str">
        <f t="shared" si="3"/>
        <v>IT-CSV-6-img-4</v>
      </c>
      <c r="F7" t="str">
        <f t="shared" si="4"/>
        <v>IT-CSV-6-img-5</v>
      </c>
      <c r="G7" t="s">
        <v>14</v>
      </c>
      <c r="H7" t="s">
        <v>14</v>
      </c>
      <c r="I7" t="s">
        <v>14</v>
      </c>
      <c r="J7" s="4" t="s">
        <v>29</v>
      </c>
      <c r="K7" t="s">
        <v>25</v>
      </c>
      <c r="L7" s="6">
        <v>3425</v>
      </c>
      <c r="M7" s="4" t="s">
        <v>30</v>
      </c>
      <c r="N7">
        <v>1</v>
      </c>
    </row>
    <row r="8" spans="1:14" ht="42" x14ac:dyDescent="0.35">
      <c r="A8" t="str">
        <f t="shared" si="5"/>
        <v>IT-CSV-7</v>
      </c>
      <c r="B8" t="str">
        <f t="shared" si="0"/>
        <v>IT-CSV-7-img-1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s="3" t="s">
        <v>31</v>
      </c>
      <c r="K8" t="s">
        <v>32</v>
      </c>
      <c r="L8" s="6">
        <v>2298</v>
      </c>
      <c r="M8" s="4" t="s">
        <v>33</v>
      </c>
      <c r="N8">
        <v>1</v>
      </c>
    </row>
    <row r="9" spans="1:14" ht="31.5" x14ac:dyDescent="0.35">
      <c r="A9" t="str">
        <f t="shared" si="5"/>
        <v>IT-CSV-8</v>
      </c>
      <c r="B9" t="str">
        <f t="shared" si="0"/>
        <v>IT-CSV-8-img-1</v>
      </c>
      <c r="C9" t="str">
        <f t="shared" si="1"/>
        <v>IT-CSV-8-img-2</v>
      </c>
      <c r="D9" t="str">
        <f t="shared" si="2"/>
        <v>IT-CSV-8-img-3</v>
      </c>
      <c r="E9" t="str">
        <f t="shared" si="3"/>
        <v>IT-CSV-8-img-4</v>
      </c>
      <c r="F9" t="str">
        <f t="shared" si="4"/>
        <v>IT-CSV-8-img-5</v>
      </c>
      <c r="G9" t="s">
        <v>14</v>
      </c>
      <c r="H9" t="s">
        <v>14</v>
      </c>
      <c r="I9" t="s">
        <v>14</v>
      </c>
      <c r="J9" s="3" t="s">
        <v>34</v>
      </c>
      <c r="K9" t="s">
        <v>25</v>
      </c>
      <c r="L9" s="6">
        <v>6363</v>
      </c>
      <c r="M9" s="4" t="s">
        <v>35</v>
      </c>
      <c r="N9">
        <v>1</v>
      </c>
    </row>
    <row r="10" spans="1:14" ht="36" x14ac:dyDescent="0.35">
      <c r="A10" t="str">
        <f t="shared" si="5"/>
        <v>IT-CSV-9</v>
      </c>
      <c r="B10" t="str">
        <f t="shared" si="0"/>
        <v>IT-CSV-9-img-1</v>
      </c>
      <c r="C10" t="str">
        <f t="shared" si="1"/>
        <v>IT-CSV-9-img-2</v>
      </c>
      <c r="D10" t="str">
        <f t="shared" si="2"/>
        <v>IT-CSV-9-img-3</v>
      </c>
      <c r="E10" t="str">
        <f t="shared" si="3"/>
        <v>IT-CSV-9-img-4</v>
      </c>
      <c r="F10" t="str">
        <f t="shared" si="4"/>
        <v>IT-CSV-9-img-5</v>
      </c>
      <c r="G10" t="s">
        <v>14</v>
      </c>
      <c r="H10" t="s">
        <v>14</v>
      </c>
      <c r="I10" t="s">
        <v>14</v>
      </c>
      <c r="J10" s="3" t="s">
        <v>36</v>
      </c>
      <c r="K10" t="s">
        <v>25</v>
      </c>
      <c r="L10" s="6">
        <v>4699</v>
      </c>
      <c r="M10" s="4" t="s">
        <v>37</v>
      </c>
      <c r="N10">
        <v>1</v>
      </c>
    </row>
    <row r="11" spans="1:14" ht="24" x14ac:dyDescent="0.35">
      <c r="A11" t="str">
        <f t="shared" si="5"/>
        <v>IT-CSV-10</v>
      </c>
      <c r="B11" t="str">
        <f t="shared" si="0"/>
        <v>IT-CSV-10-img-1</v>
      </c>
      <c r="C11" t="s">
        <v>14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  <c r="I11" t="s">
        <v>14</v>
      </c>
      <c r="J11" s="3" t="s">
        <v>38</v>
      </c>
      <c r="K11" s="3" t="s">
        <v>22</v>
      </c>
      <c r="L11" s="6">
        <v>8055</v>
      </c>
      <c r="M11" s="9" t="s">
        <v>39</v>
      </c>
      <c r="N11">
        <v>1</v>
      </c>
    </row>
    <row r="12" spans="1:14" ht="31.5" x14ac:dyDescent="0.35">
      <c r="A12" t="str">
        <f t="shared" si="5"/>
        <v>IT-CSV-11</v>
      </c>
      <c r="B12" t="str">
        <f t="shared" si="0"/>
        <v>IT-CSV-11-img-1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s="4" t="s">
        <v>40</v>
      </c>
      <c r="K12" s="3" t="s">
        <v>22</v>
      </c>
      <c r="L12" s="6">
        <v>6999</v>
      </c>
      <c r="M12" s="4" t="s">
        <v>41</v>
      </c>
      <c r="N12">
        <v>1</v>
      </c>
    </row>
    <row r="13" spans="1:14" ht="31.5" x14ac:dyDescent="0.35">
      <c r="A13" t="str">
        <f t="shared" si="5"/>
        <v>IT-CSV-12</v>
      </c>
      <c r="B13" t="str">
        <f t="shared" si="0"/>
        <v>IT-CSV-12-img-1</v>
      </c>
      <c r="C13" t="s">
        <v>14</v>
      </c>
      <c r="D13" t="s">
        <v>14</v>
      </c>
      <c r="E13" t="s">
        <v>14</v>
      </c>
      <c r="F13" t="s">
        <v>14</v>
      </c>
      <c r="G13" t="s">
        <v>14</v>
      </c>
      <c r="H13" t="s">
        <v>14</v>
      </c>
      <c r="I13" t="s">
        <v>14</v>
      </c>
      <c r="J13" s="3" t="s">
        <v>42</v>
      </c>
      <c r="K13" t="s">
        <v>16</v>
      </c>
      <c r="L13" s="6">
        <v>2020</v>
      </c>
      <c r="M13" s="4" t="s">
        <v>43</v>
      </c>
      <c r="N13">
        <v>1</v>
      </c>
    </row>
    <row r="14" spans="1:14" ht="31.5" x14ac:dyDescent="0.35">
      <c r="A14" t="str">
        <f t="shared" si="5"/>
        <v>IT-CSV-13</v>
      </c>
      <c r="B14" t="str">
        <f t="shared" si="0"/>
        <v>IT-CSV-13-img-1</v>
      </c>
      <c r="C14" t="str">
        <f t="shared" si="1"/>
        <v>IT-CSV-13-img-2</v>
      </c>
      <c r="D14" t="str">
        <f t="shared" si="2"/>
        <v>IT-CSV-13-img-3</v>
      </c>
      <c r="E14" t="str">
        <f t="shared" si="3"/>
        <v>IT-CSV-13-img-4</v>
      </c>
      <c r="F14" t="str">
        <f t="shared" si="4"/>
        <v>IT-CSV-13-img-5</v>
      </c>
      <c r="G14" t="s">
        <v>14</v>
      </c>
      <c r="H14" t="s">
        <v>14</v>
      </c>
      <c r="I14" t="s">
        <v>14</v>
      </c>
      <c r="J14" s="4" t="s">
        <v>44</v>
      </c>
      <c r="K14" t="s">
        <v>45</v>
      </c>
      <c r="L14" s="6">
        <v>3300</v>
      </c>
      <c r="M14" s="4" t="s">
        <v>46</v>
      </c>
      <c r="N14">
        <v>1</v>
      </c>
    </row>
    <row r="15" spans="1:14" ht="31.5" x14ac:dyDescent="0.35">
      <c r="A15" t="str">
        <f t="shared" si="5"/>
        <v>IT-CSV-14</v>
      </c>
      <c r="B15" t="str">
        <f t="shared" si="0"/>
        <v>IT-CSV-14-img-1</v>
      </c>
      <c r="C15" t="str">
        <f t="shared" si="1"/>
        <v>IT-CSV-14-img-2</v>
      </c>
      <c r="D15" t="str">
        <f t="shared" si="2"/>
        <v>IT-CSV-14-img-3</v>
      </c>
      <c r="E15" t="s">
        <v>14</v>
      </c>
      <c r="F15" t="s">
        <v>14</v>
      </c>
      <c r="G15" t="s">
        <v>14</v>
      </c>
      <c r="H15" t="s">
        <v>14</v>
      </c>
      <c r="I15" t="s">
        <v>14</v>
      </c>
      <c r="J15" s="4" t="s">
        <v>47</v>
      </c>
      <c r="K15" t="s">
        <v>48</v>
      </c>
      <c r="L15" s="6">
        <v>28500</v>
      </c>
      <c r="M15" s="4" t="s">
        <v>49</v>
      </c>
      <c r="N15">
        <v>1</v>
      </c>
    </row>
    <row r="16" spans="1:14" ht="31.5" x14ac:dyDescent="0.35">
      <c r="A16" t="str">
        <f t="shared" si="5"/>
        <v>IT-CSV-15</v>
      </c>
      <c r="B16" t="str">
        <f t="shared" si="0"/>
        <v>IT-CSV-15-img-1</v>
      </c>
      <c r="C16" t="s">
        <v>14</v>
      </c>
      <c r="D16" t="s">
        <v>14</v>
      </c>
      <c r="E16" t="s">
        <v>14</v>
      </c>
      <c r="F16" t="s">
        <v>14</v>
      </c>
      <c r="G16" t="s">
        <v>14</v>
      </c>
      <c r="H16" t="s">
        <v>14</v>
      </c>
      <c r="I16" t="s">
        <v>14</v>
      </c>
      <c r="J16" s="4" t="s">
        <v>50</v>
      </c>
      <c r="K16" t="s">
        <v>22</v>
      </c>
      <c r="L16" s="6">
        <v>8299</v>
      </c>
      <c r="M16" s="4" t="s">
        <v>51</v>
      </c>
      <c r="N16">
        <v>1</v>
      </c>
    </row>
    <row r="17" spans="1:14" ht="31.5" x14ac:dyDescent="0.35">
      <c r="A17" t="str">
        <f t="shared" si="5"/>
        <v>IT-CSV-16</v>
      </c>
      <c r="B17" t="str">
        <f t="shared" si="0"/>
        <v>IT-CSV-16-img-1</v>
      </c>
      <c r="C17" t="str">
        <f t="shared" si="1"/>
        <v>IT-CSV-16-img-2</v>
      </c>
      <c r="D17" t="str">
        <f t="shared" si="2"/>
        <v>IT-CSV-16-img-3</v>
      </c>
      <c r="E17" t="str">
        <f t="shared" si="3"/>
        <v>IT-CSV-16-img-4</v>
      </c>
      <c r="F17" t="str">
        <f t="shared" si="4"/>
        <v>IT-CSV-16-img-5</v>
      </c>
      <c r="G17" t="s">
        <v>14</v>
      </c>
      <c r="H17" t="s">
        <v>14</v>
      </c>
      <c r="I17" t="s">
        <v>14</v>
      </c>
      <c r="J17" s="4" t="s">
        <v>52</v>
      </c>
      <c r="K17" t="s">
        <v>53</v>
      </c>
      <c r="L17" s="6">
        <v>4444</v>
      </c>
      <c r="M17" s="4" t="s">
        <v>54</v>
      </c>
      <c r="N17">
        <v>1</v>
      </c>
    </row>
    <row r="18" spans="1:14" ht="31.5" x14ac:dyDescent="0.35">
      <c r="A18" t="str">
        <f t="shared" si="5"/>
        <v>IT-CSV-17</v>
      </c>
      <c r="B18" t="str">
        <f t="shared" si="0"/>
        <v>IT-CSV-17-img-1</v>
      </c>
      <c r="C18" t="s">
        <v>14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I18" t="s">
        <v>14</v>
      </c>
      <c r="J18" s="4" t="s">
        <v>55</v>
      </c>
      <c r="K18" t="s">
        <v>22</v>
      </c>
      <c r="L18" s="6">
        <v>4799</v>
      </c>
      <c r="M18" s="4" t="s">
        <v>56</v>
      </c>
      <c r="N18">
        <v>1</v>
      </c>
    </row>
    <row r="19" spans="1:14" ht="31.5" x14ac:dyDescent="0.35">
      <c r="A19" t="str">
        <f t="shared" si="5"/>
        <v>IT-CSV-18</v>
      </c>
      <c r="B19" t="str">
        <f t="shared" si="0"/>
        <v>IT-CSV-18-img-1</v>
      </c>
      <c r="C19" t="str">
        <f t="shared" si="1"/>
        <v>IT-CSV-18-img-2</v>
      </c>
      <c r="D19" t="str">
        <f t="shared" si="2"/>
        <v>IT-CSV-18-img-3</v>
      </c>
      <c r="E19" t="str">
        <f t="shared" si="3"/>
        <v>IT-CSV-18-img-4</v>
      </c>
      <c r="F19" t="str">
        <f t="shared" si="4"/>
        <v>IT-CSV-18-img-5</v>
      </c>
      <c r="G19" t="str">
        <f t="shared" ref="G19:G31" si="6">CONCATENATE(A19,"-img-",6)</f>
        <v>IT-CSV-18-img-6</v>
      </c>
      <c r="H19" t="s">
        <v>14</v>
      </c>
      <c r="I19" t="s">
        <v>14</v>
      </c>
      <c r="J19" s="4" t="s">
        <v>57</v>
      </c>
      <c r="K19" t="s">
        <v>45</v>
      </c>
      <c r="L19" s="6">
        <v>6665</v>
      </c>
      <c r="M19" s="4" t="s">
        <v>58</v>
      </c>
      <c r="N19">
        <v>1</v>
      </c>
    </row>
    <row r="20" spans="1:14" ht="20.25" x14ac:dyDescent="0.35">
      <c r="A20" t="str">
        <f t="shared" si="5"/>
        <v>IT-CSV-19</v>
      </c>
      <c r="B20" t="str">
        <f t="shared" si="0"/>
        <v>IT-CSV-19-img-1</v>
      </c>
      <c r="C20" t="str">
        <f t="shared" si="1"/>
        <v>IT-CSV-19-img-2</v>
      </c>
      <c r="D20" t="str">
        <f t="shared" si="2"/>
        <v>IT-CSV-19-img-3</v>
      </c>
      <c r="E20" t="s">
        <v>14</v>
      </c>
      <c r="F20" t="s">
        <v>14</v>
      </c>
      <c r="G20" t="s">
        <v>14</v>
      </c>
      <c r="H20" t="s">
        <v>14</v>
      </c>
      <c r="I20" t="s">
        <v>14</v>
      </c>
      <c r="J20" s="4" t="s">
        <v>59</v>
      </c>
      <c r="K20" t="s">
        <v>48</v>
      </c>
      <c r="L20" s="6">
        <v>14499</v>
      </c>
      <c r="M20" s="4" t="s">
        <v>60</v>
      </c>
      <c r="N20">
        <v>1</v>
      </c>
    </row>
    <row r="21" spans="1:14" ht="31.5" x14ac:dyDescent="0.35">
      <c r="A21" t="str">
        <f t="shared" si="5"/>
        <v>IT-CSV-20</v>
      </c>
      <c r="B21" t="str">
        <f t="shared" si="0"/>
        <v>IT-CSV-20-img-1</v>
      </c>
      <c r="C21" t="str">
        <f t="shared" si="1"/>
        <v>IT-CSV-20-img-2</v>
      </c>
      <c r="D21" t="str">
        <f t="shared" si="2"/>
        <v>IT-CSV-20-img-3</v>
      </c>
      <c r="E21" t="str">
        <f t="shared" si="3"/>
        <v>IT-CSV-20-img-4</v>
      </c>
      <c r="F21" t="str">
        <f t="shared" si="4"/>
        <v>IT-CSV-20-img-5</v>
      </c>
      <c r="G21" t="s">
        <v>14</v>
      </c>
      <c r="H21" t="s">
        <v>14</v>
      </c>
      <c r="I21" t="s">
        <v>14</v>
      </c>
      <c r="J21" s="4" t="s">
        <v>61</v>
      </c>
      <c r="K21" s="4" t="s">
        <v>62</v>
      </c>
      <c r="L21" s="6">
        <v>6666</v>
      </c>
      <c r="M21" s="4" t="s">
        <v>63</v>
      </c>
      <c r="N21">
        <v>1</v>
      </c>
    </row>
    <row r="22" spans="1:14" ht="31.5" x14ac:dyDescent="0.35">
      <c r="A22" t="str">
        <f t="shared" si="5"/>
        <v>IT-CSV-21</v>
      </c>
      <c r="B22" t="str">
        <f t="shared" si="0"/>
        <v>IT-CSV-21-img-1</v>
      </c>
      <c r="C22" t="str">
        <f t="shared" si="1"/>
        <v>IT-CSV-21-img-2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  <c r="I22" t="s">
        <v>14</v>
      </c>
      <c r="J22" s="4" t="s">
        <v>64</v>
      </c>
      <c r="K22" t="s">
        <v>65</v>
      </c>
      <c r="L22" s="6">
        <v>7749</v>
      </c>
      <c r="M22" s="4" t="s">
        <v>66</v>
      </c>
      <c r="N22">
        <v>2</v>
      </c>
    </row>
    <row r="23" spans="1:14" ht="42" x14ac:dyDescent="0.35">
      <c r="A23" t="str">
        <f t="shared" si="5"/>
        <v>IT-CSV-22</v>
      </c>
      <c r="B23" t="str">
        <f t="shared" si="0"/>
        <v>IT-CSV-22-img-1</v>
      </c>
      <c r="C23" t="str">
        <f t="shared" si="1"/>
        <v>IT-CSV-22-img-2</v>
      </c>
      <c r="D23" t="str">
        <f t="shared" si="2"/>
        <v>IT-CSV-22-img-3</v>
      </c>
      <c r="E23" t="str">
        <f t="shared" si="3"/>
        <v>IT-CSV-22-img-4</v>
      </c>
      <c r="F23" t="str">
        <f t="shared" si="4"/>
        <v>IT-CSV-22-img-5</v>
      </c>
      <c r="G23" t="s">
        <v>14</v>
      </c>
      <c r="H23" t="s">
        <v>14</v>
      </c>
      <c r="I23" t="s">
        <v>14</v>
      </c>
      <c r="J23" s="4" t="s">
        <v>67</v>
      </c>
      <c r="K23" s="4" t="s">
        <v>68</v>
      </c>
      <c r="L23" s="6">
        <v>6499</v>
      </c>
      <c r="M23" s="4" t="s">
        <v>69</v>
      </c>
      <c r="N23">
        <v>2</v>
      </c>
    </row>
    <row r="24" spans="1:14" ht="52.5" x14ac:dyDescent="0.35">
      <c r="A24" t="str">
        <f t="shared" si="5"/>
        <v>IT-CSV-23</v>
      </c>
      <c r="B24" t="str">
        <f t="shared" si="0"/>
        <v>IT-CSV-23-img-1</v>
      </c>
      <c r="C24" t="str">
        <f t="shared" si="1"/>
        <v>IT-CSV-23-img-2</v>
      </c>
      <c r="D24" t="str">
        <f t="shared" si="2"/>
        <v>IT-CSV-23-img-3</v>
      </c>
      <c r="E24" t="str">
        <f t="shared" si="3"/>
        <v>IT-CSV-23-img-4</v>
      </c>
      <c r="F24" t="str">
        <f t="shared" si="4"/>
        <v>IT-CSV-23-img-5</v>
      </c>
      <c r="G24" t="s">
        <v>14</v>
      </c>
      <c r="H24" t="s">
        <v>14</v>
      </c>
      <c r="I24" t="s">
        <v>14</v>
      </c>
      <c r="J24" s="4" t="s">
        <v>70</v>
      </c>
      <c r="K24" t="s">
        <v>71</v>
      </c>
      <c r="L24" s="6">
        <v>10999</v>
      </c>
      <c r="M24" s="4" t="s">
        <v>72</v>
      </c>
      <c r="N24">
        <v>2</v>
      </c>
    </row>
    <row r="25" spans="1:14" ht="42" x14ac:dyDescent="0.35">
      <c r="A25" t="str">
        <f t="shared" si="5"/>
        <v>IT-CSV-24</v>
      </c>
      <c r="B25" t="str">
        <f t="shared" si="0"/>
        <v>IT-CSV-24-img-1</v>
      </c>
      <c r="C25" t="str">
        <f t="shared" si="1"/>
        <v>IT-CSV-24-img-2</v>
      </c>
      <c r="D25" t="str">
        <f t="shared" si="2"/>
        <v>IT-CSV-24-img-3</v>
      </c>
      <c r="E25" t="str">
        <f t="shared" si="3"/>
        <v>IT-CSV-24-img-4</v>
      </c>
      <c r="F25" t="str">
        <f t="shared" si="4"/>
        <v>IT-CSV-24-img-5</v>
      </c>
      <c r="G25" t="s">
        <v>14</v>
      </c>
      <c r="H25" t="s">
        <v>14</v>
      </c>
      <c r="I25" t="s">
        <v>14</v>
      </c>
      <c r="J25" s="4" t="s">
        <v>73</v>
      </c>
      <c r="K25" t="s">
        <v>65</v>
      </c>
      <c r="L25" s="6">
        <v>6900</v>
      </c>
      <c r="M25" s="4" t="s">
        <v>74</v>
      </c>
      <c r="N25">
        <v>2</v>
      </c>
    </row>
    <row r="26" spans="1:14" ht="42" x14ac:dyDescent="0.35">
      <c r="A26" t="str">
        <f t="shared" si="5"/>
        <v>IT-CSV-25</v>
      </c>
      <c r="B26" t="str">
        <f t="shared" si="0"/>
        <v>IT-CSV-25-img-1</v>
      </c>
      <c r="C26" t="str">
        <f t="shared" si="1"/>
        <v>IT-CSV-25-img-2</v>
      </c>
      <c r="D26" t="str">
        <f t="shared" si="2"/>
        <v>IT-CSV-25-img-3</v>
      </c>
      <c r="E26" t="str">
        <f t="shared" si="3"/>
        <v>IT-CSV-25-img-4</v>
      </c>
      <c r="F26" t="str">
        <f t="shared" si="4"/>
        <v>IT-CSV-25-img-5</v>
      </c>
      <c r="G26" t="s">
        <v>14</v>
      </c>
      <c r="H26" t="s">
        <v>14</v>
      </c>
      <c r="I26" t="s">
        <v>14</v>
      </c>
      <c r="J26" s="4" t="s">
        <v>75</v>
      </c>
      <c r="K26" t="s">
        <v>71</v>
      </c>
      <c r="L26" s="6">
        <v>11490</v>
      </c>
      <c r="M26" s="4" t="s">
        <v>76</v>
      </c>
      <c r="N26">
        <v>2</v>
      </c>
    </row>
    <row r="27" spans="1:14" ht="42" x14ac:dyDescent="0.35">
      <c r="A27" t="str">
        <f t="shared" si="5"/>
        <v>IT-CSV-26</v>
      </c>
      <c r="B27" t="str">
        <f t="shared" si="0"/>
        <v>IT-CSV-26-img-1</v>
      </c>
      <c r="C27" t="str">
        <f t="shared" si="1"/>
        <v>IT-CSV-26-img-2</v>
      </c>
      <c r="D27" t="str">
        <f t="shared" si="2"/>
        <v>IT-CSV-26-img-3</v>
      </c>
      <c r="E27" t="str">
        <f t="shared" si="3"/>
        <v>IT-CSV-26-img-4</v>
      </c>
      <c r="F27" t="str">
        <f t="shared" si="4"/>
        <v>IT-CSV-26-img-5</v>
      </c>
      <c r="G27" t="s">
        <v>14</v>
      </c>
      <c r="H27" t="s">
        <v>14</v>
      </c>
      <c r="I27" t="s">
        <v>14</v>
      </c>
      <c r="J27" s="4" t="s">
        <v>77</v>
      </c>
      <c r="K27" t="s">
        <v>65</v>
      </c>
      <c r="L27" s="6">
        <v>15555</v>
      </c>
      <c r="M27" s="4" t="s">
        <v>78</v>
      </c>
      <c r="N27">
        <v>2</v>
      </c>
    </row>
    <row r="28" spans="1:14" ht="31.5" x14ac:dyDescent="0.35">
      <c r="A28" t="str">
        <f t="shared" si="5"/>
        <v>IT-CSV-27</v>
      </c>
      <c r="B28" t="str">
        <f t="shared" si="0"/>
        <v>IT-CSV-27-img-1</v>
      </c>
      <c r="C28" t="str">
        <f t="shared" si="1"/>
        <v>IT-CSV-27-img-2</v>
      </c>
      <c r="D28" t="str">
        <f t="shared" si="2"/>
        <v>IT-CSV-27-img-3</v>
      </c>
      <c r="E28" t="s">
        <v>14</v>
      </c>
      <c r="F28" t="s">
        <v>14</v>
      </c>
      <c r="G28" t="s">
        <v>14</v>
      </c>
      <c r="H28" t="s">
        <v>14</v>
      </c>
      <c r="I28" t="s">
        <v>14</v>
      </c>
      <c r="J28" s="4" t="s">
        <v>79</v>
      </c>
      <c r="K28" t="s">
        <v>80</v>
      </c>
      <c r="L28" s="6">
        <v>7895</v>
      </c>
      <c r="M28" s="4" t="s">
        <v>81</v>
      </c>
      <c r="N28">
        <v>2</v>
      </c>
    </row>
    <row r="29" spans="1:14" ht="42" x14ac:dyDescent="0.35">
      <c r="A29" t="str">
        <f t="shared" si="5"/>
        <v>IT-CSV-28</v>
      </c>
      <c r="B29" t="str">
        <f t="shared" si="0"/>
        <v>IT-CSV-28-img-1</v>
      </c>
      <c r="C29" t="str">
        <f t="shared" si="1"/>
        <v>IT-CSV-28-img-2</v>
      </c>
      <c r="D29" t="str">
        <f t="shared" si="2"/>
        <v>IT-CSV-28-img-3</v>
      </c>
      <c r="E29" t="str">
        <f t="shared" si="3"/>
        <v>IT-CSV-28-img-4</v>
      </c>
      <c r="F29" t="str">
        <f t="shared" si="4"/>
        <v>IT-CSV-28-img-5</v>
      </c>
      <c r="G29" t="str">
        <f t="shared" si="6"/>
        <v>IT-CSV-28-img-6</v>
      </c>
      <c r="H29" t="str">
        <f t="shared" ref="H29:H31" si="7">CONCATENATE(A29,"-img-",7)</f>
        <v>IT-CSV-28-img-7</v>
      </c>
      <c r="I29" t="str">
        <f t="shared" ref="I29:I31" si="8">CONCATENATE(A29,"-img-",8)</f>
        <v>IT-CSV-28-img-8</v>
      </c>
      <c r="J29" s="4" t="s">
        <v>82</v>
      </c>
      <c r="K29" t="s">
        <v>80</v>
      </c>
      <c r="L29" s="6">
        <v>13660</v>
      </c>
      <c r="M29" s="4" t="s">
        <v>83</v>
      </c>
      <c r="N29">
        <v>2</v>
      </c>
    </row>
    <row r="30" spans="1:14" ht="42" x14ac:dyDescent="0.35">
      <c r="A30" t="str">
        <f t="shared" si="5"/>
        <v>IT-CSV-29</v>
      </c>
      <c r="B30" t="str">
        <f t="shared" si="0"/>
        <v>IT-CSV-29-img-1</v>
      </c>
      <c r="C30" t="s">
        <v>14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  <c r="I30" t="s">
        <v>14</v>
      </c>
      <c r="J30" s="4" t="s">
        <v>84</v>
      </c>
      <c r="K30" s="4" t="s">
        <v>65</v>
      </c>
      <c r="L30" s="6">
        <v>11414</v>
      </c>
      <c r="M30" s="4" t="s">
        <v>85</v>
      </c>
      <c r="N30">
        <v>2</v>
      </c>
    </row>
    <row r="31" spans="1:14" ht="42" x14ac:dyDescent="0.35">
      <c r="A31" t="str">
        <f t="shared" ref="A31:A61" si="9">CONCATENATE("IT-CSV-",ROW()-1)</f>
        <v>IT-CSV-30</v>
      </c>
      <c r="B31" t="str">
        <f t="shared" si="0"/>
        <v>IT-CSV-30-img-1</v>
      </c>
      <c r="C31" t="str">
        <f t="shared" si="1"/>
        <v>IT-CSV-30-img-2</v>
      </c>
      <c r="D31" t="str">
        <f t="shared" si="2"/>
        <v>IT-CSV-30-img-3</v>
      </c>
      <c r="E31" t="str">
        <f t="shared" si="3"/>
        <v>IT-CSV-30-img-4</v>
      </c>
      <c r="F31" t="str">
        <f t="shared" si="4"/>
        <v>IT-CSV-30-img-5</v>
      </c>
      <c r="G31" t="str">
        <f t="shared" si="6"/>
        <v>IT-CSV-30-img-6</v>
      </c>
      <c r="H31" t="str">
        <f t="shared" si="7"/>
        <v>IT-CSV-30-img-7</v>
      </c>
      <c r="I31" t="str">
        <f t="shared" si="8"/>
        <v>IT-CSV-30-img-8</v>
      </c>
      <c r="J31" s="4" t="s">
        <v>86</v>
      </c>
      <c r="K31" s="4" t="s">
        <v>87</v>
      </c>
      <c r="L31" s="6">
        <v>7888</v>
      </c>
      <c r="M31" s="4" t="s">
        <v>88</v>
      </c>
      <c r="N31">
        <v>2</v>
      </c>
    </row>
    <row r="32" spans="1:14" ht="52.5" x14ac:dyDescent="0.35">
      <c r="A32" t="str">
        <f t="shared" si="9"/>
        <v>IT-CSV-31</v>
      </c>
      <c r="B32" t="str">
        <f t="shared" ref="B32:B33" si="10">CONCATENATE(A32,"-img-",1)</f>
        <v>IT-CSV-31-img-1</v>
      </c>
      <c r="C32" t="str">
        <f t="shared" ref="C32:C33" si="11">CONCATENATE(A32,"-img-",2)</f>
        <v>IT-CSV-31-img-2</v>
      </c>
      <c r="D32" t="str">
        <f t="shared" ref="D32:D33" si="12">CONCATENATE(A32,"-img-",3)</f>
        <v>IT-CSV-31-img-3</v>
      </c>
      <c r="E32" t="str">
        <f t="shared" ref="E32:E33" si="13">CONCATENATE(A32,"-img-",4)</f>
        <v>IT-CSV-31-img-4</v>
      </c>
      <c r="F32" t="str">
        <f t="shared" ref="F32:F33" si="14">CONCATENATE(A32,"-img-",5)</f>
        <v>IT-CSV-31-img-5</v>
      </c>
      <c r="G32" t="s">
        <v>14</v>
      </c>
      <c r="H32" t="s">
        <v>14</v>
      </c>
      <c r="I32" t="s">
        <v>14</v>
      </c>
      <c r="J32" s="4" t="s">
        <v>89</v>
      </c>
      <c r="K32" s="3" t="s">
        <v>68</v>
      </c>
      <c r="L32" s="6">
        <v>22500</v>
      </c>
      <c r="M32" s="4" t="s">
        <v>90</v>
      </c>
      <c r="N32">
        <v>2</v>
      </c>
    </row>
    <row r="33" spans="1:14" ht="45" x14ac:dyDescent="0.35">
      <c r="A33" t="str">
        <f t="shared" si="9"/>
        <v>IT-CSV-32</v>
      </c>
      <c r="B33" t="str">
        <f t="shared" si="10"/>
        <v>IT-CSV-32-img-1</v>
      </c>
      <c r="C33" t="str">
        <f t="shared" si="11"/>
        <v>IT-CSV-32-img-2</v>
      </c>
      <c r="D33" t="str">
        <f t="shared" si="12"/>
        <v>IT-CSV-32-img-3</v>
      </c>
      <c r="E33" t="str">
        <f t="shared" si="13"/>
        <v>IT-CSV-32-img-4</v>
      </c>
      <c r="F33" t="str">
        <f t="shared" si="14"/>
        <v>IT-CSV-32-img-5</v>
      </c>
      <c r="G33" t="s">
        <v>14</v>
      </c>
      <c r="H33" t="s">
        <v>14</v>
      </c>
      <c r="I33" t="s">
        <v>14</v>
      </c>
      <c r="J33" s="10" t="s">
        <v>91</v>
      </c>
      <c r="K33" s="10" t="s">
        <v>65</v>
      </c>
      <c r="L33" s="11">
        <v>10900</v>
      </c>
      <c r="M33" s="10" t="s">
        <v>92</v>
      </c>
      <c r="N33">
        <v>2</v>
      </c>
    </row>
    <row r="34" spans="1:14" ht="45" x14ac:dyDescent="0.35">
      <c r="A34" t="str">
        <f t="shared" si="9"/>
        <v>IT-CSV-33</v>
      </c>
      <c r="B34" t="str">
        <f t="shared" ref="B34:B40" si="15">CONCATENATE(A34,"-img-",1)</f>
        <v>IT-CSV-33-img-1</v>
      </c>
      <c r="C34" t="str">
        <f t="shared" ref="C34:C40" si="16">CONCATENATE(A34,"-img-",2)</f>
        <v>IT-CSV-33-img-2</v>
      </c>
      <c r="D34" t="str">
        <f t="shared" ref="D34:D40" si="17">CONCATENATE(A34,"-img-",3)</f>
        <v>IT-CSV-33-img-3</v>
      </c>
      <c r="E34" t="str">
        <f t="shared" ref="E34:E40" si="18">CONCATENATE(A34,"-img-",4)</f>
        <v>IT-CSV-33-img-4</v>
      </c>
      <c r="F34" t="str">
        <f t="shared" ref="F34:F39" si="19">CONCATENATE(A34,"-img-",5)</f>
        <v>IT-CSV-33-img-5</v>
      </c>
      <c r="G34" t="s">
        <v>14</v>
      </c>
      <c r="H34" t="s">
        <v>14</v>
      </c>
      <c r="I34" t="s">
        <v>14</v>
      </c>
      <c r="J34" s="10" t="s">
        <v>93</v>
      </c>
      <c r="K34" t="s">
        <v>94</v>
      </c>
      <c r="L34" s="11">
        <v>12222</v>
      </c>
      <c r="M34" s="10" t="s">
        <v>95</v>
      </c>
      <c r="N34">
        <v>2</v>
      </c>
    </row>
    <row r="35" spans="1:14" s="13" customFormat="1" ht="37.5" x14ac:dyDescent="0.25">
      <c r="A35" s="13" t="str">
        <f t="shared" si="9"/>
        <v>IT-CSV-34</v>
      </c>
      <c r="B35" s="13" t="str">
        <f t="shared" si="15"/>
        <v>IT-CSV-34-img-1</v>
      </c>
      <c r="C35" s="13" t="str">
        <f t="shared" si="16"/>
        <v>IT-CSV-34-img-2</v>
      </c>
      <c r="D35" s="13" t="str">
        <f t="shared" si="17"/>
        <v>IT-CSV-34-img-3</v>
      </c>
      <c r="E35" s="13" t="str">
        <f t="shared" si="18"/>
        <v>IT-CSV-34-img-4</v>
      </c>
      <c r="F35" s="13" t="s">
        <v>14</v>
      </c>
      <c r="G35" t="s">
        <v>14</v>
      </c>
      <c r="H35" t="s">
        <v>14</v>
      </c>
      <c r="I35" t="s">
        <v>14</v>
      </c>
      <c r="J35" s="10" t="s">
        <v>97</v>
      </c>
      <c r="K35" s="14" t="s">
        <v>96</v>
      </c>
      <c r="L35" s="15">
        <v>8080</v>
      </c>
      <c r="M35" s="14" t="s">
        <v>98</v>
      </c>
      <c r="N35">
        <v>2</v>
      </c>
    </row>
    <row r="36" spans="1:14" ht="56.25" x14ac:dyDescent="0.25">
      <c r="A36" t="str">
        <f t="shared" si="9"/>
        <v>IT-CSV-35</v>
      </c>
      <c r="B36" t="str">
        <f t="shared" si="15"/>
        <v>IT-CSV-35-img-1</v>
      </c>
      <c r="C36" t="str">
        <f t="shared" si="16"/>
        <v>IT-CSV-35-img-2</v>
      </c>
      <c r="D36" t="str">
        <f t="shared" si="17"/>
        <v>IT-CSV-35-img-3</v>
      </c>
      <c r="E36" t="str">
        <f t="shared" si="18"/>
        <v>IT-CSV-35-img-4</v>
      </c>
      <c r="F36" t="str">
        <f t="shared" si="19"/>
        <v>IT-CSV-35-img-5</v>
      </c>
      <c r="G36" t="str">
        <f t="shared" ref="G36:G37" si="20">CONCATENATE(A36,"-img-",6)</f>
        <v>IT-CSV-35-img-6</v>
      </c>
      <c r="H36" t="str">
        <f t="shared" ref="H36" si="21">CONCATENATE(A36,"-img-",7)</f>
        <v>IT-CSV-35-img-7</v>
      </c>
      <c r="I36" t="str">
        <f t="shared" ref="I36" si="22">CONCATENATE(A36,"-img-",8)</f>
        <v>IT-CSV-35-img-8</v>
      </c>
      <c r="J36" s="10" t="s">
        <v>99</v>
      </c>
      <c r="K36" s="10" t="s">
        <v>68</v>
      </c>
      <c r="L36" s="12">
        <v>14333</v>
      </c>
      <c r="M36" s="10" t="s">
        <v>100</v>
      </c>
      <c r="N36">
        <v>2</v>
      </c>
    </row>
    <row r="37" spans="1:14" ht="45" x14ac:dyDescent="0.25">
      <c r="A37" t="str">
        <f t="shared" si="9"/>
        <v>IT-CSV-36</v>
      </c>
      <c r="B37" t="str">
        <f t="shared" si="15"/>
        <v>IT-CSV-36-img-1</v>
      </c>
      <c r="C37" t="str">
        <f t="shared" si="16"/>
        <v>IT-CSV-36-img-2</v>
      </c>
      <c r="D37" t="str">
        <f t="shared" si="17"/>
        <v>IT-CSV-36-img-3</v>
      </c>
      <c r="E37" t="str">
        <f t="shared" si="18"/>
        <v>IT-CSV-36-img-4</v>
      </c>
      <c r="F37" t="str">
        <f t="shared" si="19"/>
        <v>IT-CSV-36-img-5</v>
      </c>
      <c r="G37" t="str">
        <f t="shared" si="20"/>
        <v>IT-CSV-36-img-6</v>
      </c>
      <c r="H37" t="s">
        <v>14</v>
      </c>
      <c r="I37" t="s">
        <v>14</v>
      </c>
      <c r="J37" s="10" t="s">
        <v>101</v>
      </c>
      <c r="K37" s="10" t="s">
        <v>71</v>
      </c>
      <c r="L37" s="12">
        <v>13777</v>
      </c>
      <c r="M37" s="10" t="s">
        <v>102</v>
      </c>
      <c r="N37">
        <v>2</v>
      </c>
    </row>
    <row r="38" spans="1:14" ht="45" x14ac:dyDescent="0.25">
      <c r="A38" t="str">
        <f t="shared" si="9"/>
        <v>IT-CSV-37</v>
      </c>
      <c r="B38" t="str">
        <f t="shared" si="15"/>
        <v>IT-CSV-37-img-1</v>
      </c>
      <c r="C38" t="str">
        <f t="shared" si="16"/>
        <v>IT-CSV-37-img-2</v>
      </c>
      <c r="D38" t="str">
        <f t="shared" si="17"/>
        <v>IT-CSV-37-img-3</v>
      </c>
      <c r="E38" t="str">
        <f t="shared" si="18"/>
        <v>IT-CSV-37-img-4</v>
      </c>
      <c r="F38" t="str">
        <f t="shared" si="19"/>
        <v>IT-CSV-37-img-5</v>
      </c>
      <c r="G38" t="s">
        <v>14</v>
      </c>
      <c r="H38" t="s">
        <v>14</v>
      </c>
      <c r="I38" t="s">
        <v>14</v>
      </c>
      <c r="J38" s="10" t="s">
        <v>103</v>
      </c>
      <c r="K38" s="10" t="s">
        <v>96</v>
      </c>
      <c r="L38" s="12">
        <v>5590</v>
      </c>
      <c r="M38" s="10" t="s">
        <v>104</v>
      </c>
      <c r="N38">
        <v>2</v>
      </c>
    </row>
    <row r="39" spans="1:14" ht="45" x14ac:dyDescent="0.25">
      <c r="A39" t="str">
        <f t="shared" si="9"/>
        <v>IT-CSV-38</v>
      </c>
      <c r="B39" t="str">
        <f t="shared" si="15"/>
        <v>IT-CSV-38-img-1</v>
      </c>
      <c r="C39" t="str">
        <f t="shared" si="16"/>
        <v>IT-CSV-38-img-2</v>
      </c>
      <c r="D39" t="str">
        <f t="shared" si="17"/>
        <v>IT-CSV-38-img-3</v>
      </c>
      <c r="E39" t="str">
        <f t="shared" si="18"/>
        <v>IT-CSV-38-img-4</v>
      </c>
      <c r="F39" t="str">
        <f t="shared" si="19"/>
        <v>IT-CSV-38-img-5</v>
      </c>
      <c r="G39" t="s">
        <v>14</v>
      </c>
      <c r="H39" t="s">
        <v>14</v>
      </c>
      <c r="I39" t="s">
        <v>14</v>
      </c>
      <c r="J39" s="10" t="s">
        <v>105</v>
      </c>
      <c r="K39" s="10" t="s">
        <v>80</v>
      </c>
      <c r="L39" s="12">
        <v>10990</v>
      </c>
      <c r="M39" s="10" t="s">
        <v>106</v>
      </c>
      <c r="N39">
        <v>2</v>
      </c>
    </row>
    <row r="40" spans="1:14" ht="45" x14ac:dyDescent="0.25">
      <c r="A40" t="str">
        <f t="shared" si="9"/>
        <v>IT-CSV-39</v>
      </c>
      <c r="B40" t="str">
        <f t="shared" si="15"/>
        <v>IT-CSV-39-img-1</v>
      </c>
      <c r="C40" t="str">
        <f t="shared" si="16"/>
        <v>IT-CSV-39-img-2</v>
      </c>
      <c r="D40" t="str">
        <f t="shared" si="17"/>
        <v>IT-CSV-39-img-3</v>
      </c>
      <c r="E40" t="str">
        <f t="shared" si="18"/>
        <v>IT-CSV-39-img-4</v>
      </c>
      <c r="F40" t="s">
        <v>14</v>
      </c>
      <c r="G40" t="s">
        <v>14</v>
      </c>
      <c r="H40" t="s">
        <v>14</v>
      </c>
      <c r="I40" t="s">
        <v>14</v>
      </c>
      <c r="J40" s="10" t="s">
        <v>107</v>
      </c>
      <c r="K40" s="10" t="s">
        <v>108</v>
      </c>
      <c r="L40" s="12">
        <v>16000</v>
      </c>
      <c r="M40" s="10" t="s">
        <v>109</v>
      </c>
      <c r="N40">
        <v>2</v>
      </c>
    </row>
    <row r="41" spans="1:14" ht="45" x14ac:dyDescent="0.25">
      <c r="A41" t="str">
        <f t="shared" si="9"/>
        <v>IT-CSV-40</v>
      </c>
      <c r="B41" t="str">
        <f t="shared" ref="B41:B54" si="23">CONCATENATE(A41,"-img-",1)</f>
        <v>IT-CSV-40-img-1</v>
      </c>
      <c r="C41" t="str">
        <f t="shared" ref="C41:C54" si="24">CONCATENATE(A41,"-img-",2)</f>
        <v>IT-CSV-40-img-2</v>
      </c>
      <c r="D41" t="str">
        <f t="shared" ref="D41:D54" si="25">CONCATENATE(A41,"-img-",3)</f>
        <v>IT-CSV-40-img-3</v>
      </c>
      <c r="E41" t="str">
        <f t="shared" ref="E41:E54" si="26">CONCATENATE(A41,"-img-",4)</f>
        <v>IT-CSV-40-img-4</v>
      </c>
      <c r="F41" t="str">
        <f t="shared" ref="F41:F54" si="27">CONCATENATE(A41,"-img-",5)</f>
        <v>IT-CSV-40-img-5</v>
      </c>
      <c r="G41" t="str">
        <f t="shared" ref="G41:G54" si="28">CONCATENATE(A41,"-img-",6)</f>
        <v>IT-CSV-40-img-6</v>
      </c>
      <c r="H41" t="s">
        <v>14</v>
      </c>
      <c r="I41" t="s">
        <v>14</v>
      </c>
      <c r="J41" s="10" t="s">
        <v>110</v>
      </c>
      <c r="K41" s="10" t="s">
        <v>96</v>
      </c>
      <c r="L41" s="12">
        <v>16999</v>
      </c>
      <c r="M41" s="10" t="s">
        <v>111</v>
      </c>
      <c r="N41">
        <v>2</v>
      </c>
    </row>
    <row r="42" spans="1:14" ht="33.75" x14ac:dyDescent="0.25">
      <c r="A42" t="str">
        <f t="shared" si="9"/>
        <v>IT-CSV-41</v>
      </c>
      <c r="B42" t="str">
        <f t="shared" si="23"/>
        <v>IT-CSV-41-img-1</v>
      </c>
      <c r="C42" t="str">
        <f t="shared" si="24"/>
        <v>IT-CSV-41-img-2</v>
      </c>
      <c r="D42" t="str">
        <f t="shared" si="25"/>
        <v>IT-CSV-41-img-3</v>
      </c>
      <c r="E42" t="s">
        <v>14</v>
      </c>
      <c r="F42" t="s">
        <v>14</v>
      </c>
      <c r="G42" t="s">
        <v>14</v>
      </c>
      <c r="H42" t="s">
        <v>14</v>
      </c>
      <c r="I42" t="s">
        <v>14</v>
      </c>
      <c r="J42" s="10" t="s">
        <v>112</v>
      </c>
      <c r="K42" s="10" t="s">
        <v>113</v>
      </c>
      <c r="L42" s="16">
        <v>1899</v>
      </c>
      <c r="M42" s="10" t="s">
        <v>114</v>
      </c>
      <c r="N42">
        <v>1</v>
      </c>
    </row>
    <row r="43" spans="1:14" ht="33.75" x14ac:dyDescent="0.25">
      <c r="A43" t="str">
        <f t="shared" si="9"/>
        <v>IT-CSV-42</v>
      </c>
      <c r="B43" t="str">
        <f t="shared" si="23"/>
        <v>IT-CSV-42-img-1</v>
      </c>
      <c r="C43" t="str">
        <f t="shared" si="24"/>
        <v>IT-CSV-42-img-2</v>
      </c>
      <c r="D43" t="str">
        <f t="shared" si="25"/>
        <v>IT-CSV-42-img-3</v>
      </c>
      <c r="E43" t="str">
        <f t="shared" si="26"/>
        <v>IT-CSV-42-img-4</v>
      </c>
      <c r="F43" t="str">
        <f t="shared" si="27"/>
        <v>IT-CSV-42-img-5</v>
      </c>
      <c r="G43" t="str">
        <f t="shared" si="28"/>
        <v>IT-CSV-42-img-6</v>
      </c>
      <c r="H43" t="s">
        <v>14</v>
      </c>
      <c r="I43" t="s">
        <v>14</v>
      </c>
      <c r="J43" s="10" t="s">
        <v>115</v>
      </c>
      <c r="K43" s="10" t="s">
        <v>25</v>
      </c>
      <c r="L43" s="16">
        <v>4270</v>
      </c>
      <c r="M43" s="10" t="s">
        <v>116</v>
      </c>
      <c r="N43">
        <v>1</v>
      </c>
    </row>
    <row r="44" spans="1:14" ht="33.75" x14ac:dyDescent="0.25">
      <c r="A44" t="str">
        <f t="shared" si="9"/>
        <v>IT-CSV-43</v>
      </c>
      <c r="B44" t="str">
        <f t="shared" si="23"/>
        <v>IT-CSV-43-img-1</v>
      </c>
      <c r="C44" t="str">
        <f t="shared" si="24"/>
        <v>IT-CSV-43-img-2</v>
      </c>
      <c r="D44" t="str">
        <f t="shared" si="25"/>
        <v>IT-CSV-43-img-3</v>
      </c>
      <c r="E44" t="str">
        <f t="shared" si="26"/>
        <v>IT-CSV-43-img-4</v>
      </c>
      <c r="F44" t="str">
        <f t="shared" si="27"/>
        <v>IT-CSV-43-img-5</v>
      </c>
      <c r="G44" t="str">
        <f t="shared" si="28"/>
        <v>IT-CSV-43-img-6</v>
      </c>
      <c r="H44" t="s">
        <v>14</v>
      </c>
      <c r="I44" t="s">
        <v>14</v>
      </c>
      <c r="J44" s="10" t="s">
        <v>117</v>
      </c>
      <c r="K44" s="10" t="s">
        <v>113</v>
      </c>
      <c r="L44" s="16">
        <v>3635</v>
      </c>
      <c r="M44" s="10" t="s">
        <v>118</v>
      </c>
      <c r="N44">
        <v>1</v>
      </c>
    </row>
    <row r="45" spans="1:14" ht="33.75" x14ac:dyDescent="0.25">
      <c r="A45" t="str">
        <f t="shared" si="9"/>
        <v>IT-CSV-44</v>
      </c>
      <c r="B45" t="str">
        <f t="shared" si="23"/>
        <v>IT-CSV-44-img-1</v>
      </c>
      <c r="C45" t="str">
        <f t="shared" si="24"/>
        <v>IT-CSV-44-img-2</v>
      </c>
      <c r="D45" t="str">
        <f t="shared" si="25"/>
        <v>IT-CSV-44-img-3</v>
      </c>
      <c r="E45" t="s">
        <v>14</v>
      </c>
      <c r="F45" t="s">
        <v>14</v>
      </c>
      <c r="G45" t="s">
        <v>14</v>
      </c>
      <c r="H45" t="s">
        <v>14</v>
      </c>
      <c r="I45" t="s">
        <v>14</v>
      </c>
      <c r="J45" s="10" t="s">
        <v>119</v>
      </c>
      <c r="K45" s="10" t="s">
        <v>120</v>
      </c>
      <c r="L45" s="16">
        <v>1799</v>
      </c>
      <c r="M45" s="10" t="s">
        <v>121</v>
      </c>
      <c r="N45">
        <v>1</v>
      </c>
    </row>
    <row r="46" spans="1:14" ht="33.75" x14ac:dyDescent="0.25">
      <c r="A46" t="str">
        <f t="shared" si="9"/>
        <v>IT-CSV-45</v>
      </c>
      <c r="B46" t="str">
        <f t="shared" si="23"/>
        <v>IT-CSV-45-img-1</v>
      </c>
      <c r="C46" t="s">
        <v>14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  <c r="I46" t="s">
        <v>14</v>
      </c>
      <c r="J46" s="10" t="s">
        <v>122</v>
      </c>
      <c r="K46" s="10" t="s">
        <v>123</v>
      </c>
      <c r="L46" s="16">
        <v>7333</v>
      </c>
      <c r="M46" s="10" t="s">
        <v>124</v>
      </c>
      <c r="N46">
        <v>1</v>
      </c>
    </row>
    <row r="47" spans="1:14" ht="33.75" x14ac:dyDescent="0.25">
      <c r="A47" t="str">
        <f t="shared" si="9"/>
        <v>IT-CSV-46</v>
      </c>
      <c r="B47" t="str">
        <f t="shared" si="23"/>
        <v>IT-CSV-46-img-1</v>
      </c>
      <c r="C47" t="str">
        <f t="shared" si="24"/>
        <v>IT-CSV-46-img-2</v>
      </c>
      <c r="D47" t="str">
        <f t="shared" si="25"/>
        <v>IT-CSV-46-img-3</v>
      </c>
      <c r="E47" t="str">
        <f t="shared" si="26"/>
        <v>IT-CSV-46-img-4</v>
      </c>
      <c r="F47" t="s">
        <v>14</v>
      </c>
      <c r="G47" t="s">
        <v>14</v>
      </c>
      <c r="H47" t="s">
        <v>14</v>
      </c>
      <c r="I47" t="s">
        <v>14</v>
      </c>
      <c r="J47" s="10" t="s">
        <v>125</v>
      </c>
      <c r="K47" s="10" t="s">
        <v>113</v>
      </c>
      <c r="L47" s="16">
        <v>5083</v>
      </c>
      <c r="M47" s="10" t="s">
        <v>126</v>
      </c>
      <c r="N47">
        <v>1</v>
      </c>
    </row>
    <row r="48" spans="1:14" ht="15" x14ac:dyDescent="0.25">
      <c r="A48" t="str">
        <f t="shared" si="9"/>
        <v>IT-CSV-47</v>
      </c>
      <c r="B48" t="str">
        <f t="shared" si="23"/>
        <v>IT-CSV-47-img-1</v>
      </c>
      <c r="C48" t="str">
        <f t="shared" si="24"/>
        <v>IT-CSV-47-img-2</v>
      </c>
      <c r="D48" t="str">
        <f t="shared" si="25"/>
        <v>IT-CSV-47-img-3</v>
      </c>
      <c r="E48" t="str">
        <f t="shared" si="26"/>
        <v>IT-CSV-47-img-4</v>
      </c>
      <c r="F48" t="str">
        <f t="shared" si="27"/>
        <v>IT-CSV-47-img-5</v>
      </c>
      <c r="G48" t="str">
        <f t="shared" si="28"/>
        <v>IT-CSV-47-img-6</v>
      </c>
      <c r="H48" t="str">
        <f t="shared" ref="H48:H54" si="29">CONCATENATE(A48,"-img-",7)</f>
        <v>IT-CSV-47-img-7</v>
      </c>
      <c r="I48" t="str">
        <f t="shared" ref="I48:I54" si="30">CONCATENATE(A48,"-img-",8)</f>
        <v>IT-CSV-47-img-8</v>
      </c>
      <c r="N48">
        <v>1</v>
      </c>
    </row>
    <row r="49" spans="1:14" ht="15" x14ac:dyDescent="0.25">
      <c r="A49" t="str">
        <f t="shared" si="9"/>
        <v>IT-CSV-48</v>
      </c>
      <c r="B49" t="str">
        <f t="shared" si="23"/>
        <v>IT-CSV-48-img-1</v>
      </c>
      <c r="C49" t="str">
        <f t="shared" si="24"/>
        <v>IT-CSV-48-img-2</v>
      </c>
      <c r="D49" t="str">
        <f t="shared" si="25"/>
        <v>IT-CSV-48-img-3</v>
      </c>
      <c r="E49" t="str">
        <f t="shared" si="26"/>
        <v>IT-CSV-48-img-4</v>
      </c>
      <c r="F49" t="str">
        <f t="shared" si="27"/>
        <v>IT-CSV-48-img-5</v>
      </c>
      <c r="G49" t="str">
        <f t="shared" si="28"/>
        <v>IT-CSV-48-img-6</v>
      </c>
      <c r="H49" t="str">
        <f t="shared" si="29"/>
        <v>IT-CSV-48-img-7</v>
      </c>
      <c r="I49" t="str">
        <f t="shared" si="30"/>
        <v>IT-CSV-48-img-8</v>
      </c>
      <c r="N49">
        <v>1</v>
      </c>
    </row>
    <row r="50" spans="1:14" ht="15" x14ac:dyDescent="0.25">
      <c r="A50" t="str">
        <f t="shared" si="9"/>
        <v>IT-CSV-49</v>
      </c>
      <c r="B50" t="str">
        <f t="shared" si="23"/>
        <v>IT-CSV-49-img-1</v>
      </c>
      <c r="C50" t="str">
        <f t="shared" si="24"/>
        <v>IT-CSV-49-img-2</v>
      </c>
      <c r="D50" t="str">
        <f t="shared" si="25"/>
        <v>IT-CSV-49-img-3</v>
      </c>
      <c r="E50" t="str">
        <f t="shared" si="26"/>
        <v>IT-CSV-49-img-4</v>
      </c>
      <c r="F50" t="str">
        <f t="shared" si="27"/>
        <v>IT-CSV-49-img-5</v>
      </c>
      <c r="G50" t="str">
        <f t="shared" si="28"/>
        <v>IT-CSV-49-img-6</v>
      </c>
      <c r="H50" t="str">
        <f t="shared" si="29"/>
        <v>IT-CSV-49-img-7</v>
      </c>
      <c r="I50" t="str">
        <f t="shared" si="30"/>
        <v>IT-CSV-49-img-8</v>
      </c>
      <c r="N50">
        <v>1</v>
      </c>
    </row>
    <row r="51" spans="1:14" ht="15" x14ac:dyDescent="0.25">
      <c r="A51" t="str">
        <f t="shared" si="9"/>
        <v>IT-CSV-50</v>
      </c>
      <c r="B51" t="str">
        <f t="shared" si="23"/>
        <v>IT-CSV-50-img-1</v>
      </c>
      <c r="C51" t="str">
        <f t="shared" si="24"/>
        <v>IT-CSV-50-img-2</v>
      </c>
      <c r="D51" t="str">
        <f t="shared" si="25"/>
        <v>IT-CSV-50-img-3</v>
      </c>
      <c r="E51" t="str">
        <f t="shared" si="26"/>
        <v>IT-CSV-50-img-4</v>
      </c>
      <c r="F51" t="str">
        <f t="shared" si="27"/>
        <v>IT-CSV-50-img-5</v>
      </c>
      <c r="G51" t="str">
        <f t="shared" si="28"/>
        <v>IT-CSV-50-img-6</v>
      </c>
      <c r="H51" t="str">
        <f t="shared" si="29"/>
        <v>IT-CSV-50-img-7</v>
      </c>
      <c r="I51" t="str">
        <f t="shared" si="30"/>
        <v>IT-CSV-50-img-8</v>
      </c>
      <c r="N51">
        <v>1</v>
      </c>
    </row>
    <row r="52" spans="1:14" ht="15" x14ac:dyDescent="0.25">
      <c r="A52" t="str">
        <f t="shared" si="9"/>
        <v>IT-CSV-51</v>
      </c>
      <c r="B52" t="str">
        <f t="shared" si="23"/>
        <v>IT-CSV-51-img-1</v>
      </c>
      <c r="C52" t="str">
        <f t="shared" si="24"/>
        <v>IT-CSV-51-img-2</v>
      </c>
      <c r="D52" t="str">
        <f t="shared" si="25"/>
        <v>IT-CSV-51-img-3</v>
      </c>
      <c r="E52" t="str">
        <f t="shared" si="26"/>
        <v>IT-CSV-51-img-4</v>
      </c>
      <c r="F52" t="str">
        <f t="shared" si="27"/>
        <v>IT-CSV-51-img-5</v>
      </c>
      <c r="G52" t="str">
        <f t="shared" si="28"/>
        <v>IT-CSV-51-img-6</v>
      </c>
      <c r="H52" t="str">
        <f t="shared" si="29"/>
        <v>IT-CSV-51-img-7</v>
      </c>
      <c r="I52" t="str">
        <f t="shared" si="30"/>
        <v>IT-CSV-51-img-8</v>
      </c>
      <c r="N52">
        <v>1</v>
      </c>
    </row>
    <row r="53" spans="1:14" ht="15" x14ac:dyDescent="0.25">
      <c r="A53" t="str">
        <f t="shared" si="9"/>
        <v>IT-CSV-52</v>
      </c>
      <c r="B53" t="str">
        <f t="shared" si="23"/>
        <v>IT-CSV-52-img-1</v>
      </c>
      <c r="C53" t="str">
        <f t="shared" si="24"/>
        <v>IT-CSV-52-img-2</v>
      </c>
      <c r="D53" t="str">
        <f t="shared" si="25"/>
        <v>IT-CSV-52-img-3</v>
      </c>
      <c r="E53" t="str">
        <f t="shared" si="26"/>
        <v>IT-CSV-52-img-4</v>
      </c>
      <c r="F53" t="str">
        <f t="shared" si="27"/>
        <v>IT-CSV-52-img-5</v>
      </c>
      <c r="G53" t="str">
        <f t="shared" si="28"/>
        <v>IT-CSV-52-img-6</v>
      </c>
      <c r="H53" t="str">
        <f t="shared" si="29"/>
        <v>IT-CSV-52-img-7</v>
      </c>
      <c r="I53" t="str">
        <f t="shared" si="30"/>
        <v>IT-CSV-52-img-8</v>
      </c>
      <c r="N53">
        <v>1</v>
      </c>
    </row>
    <row r="54" spans="1:14" ht="15" x14ac:dyDescent="0.25">
      <c r="A54" t="str">
        <f t="shared" si="9"/>
        <v>IT-CSV-53</v>
      </c>
      <c r="B54" t="str">
        <f t="shared" si="23"/>
        <v>IT-CSV-53-img-1</v>
      </c>
      <c r="C54" t="str">
        <f t="shared" si="24"/>
        <v>IT-CSV-53-img-2</v>
      </c>
      <c r="D54" t="str">
        <f t="shared" si="25"/>
        <v>IT-CSV-53-img-3</v>
      </c>
      <c r="E54" t="str">
        <f t="shared" si="26"/>
        <v>IT-CSV-53-img-4</v>
      </c>
      <c r="F54" t="str">
        <f t="shared" si="27"/>
        <v>IT-CSV-53-img-5</v>
      </c>
      <c r="G54" t="str">
        <f t="shared" si="28"/>
        <v>IT-CSV-53-img-6</v>
      </c>
      <c r="H54" t="str">
        <f t="shared" si="29"/>
        <v>IT-CSV-53-img-7</v>
      </c>
      <c r="I54" t="str">
        <f t="shared" si="30"/>
        <v>IT-CSV-53-img-8</v>
      </c>
      <c r="N54">
        <v>1</v>
      </c>
    </row>
    <row r="55" spans="1:14" ht="15" x14ac:dyDescent="0.25">
      <c r="A55" t="str">
        <f t="shared" si="9"/>
        <v>IT-CSV-54</v>
      </c>
      <c r="B55" t="str">
        <f t="shared" ref="B55:B61" si="31">CONCATENATE(A55,"-img-",1)</f>
        <v>IT-CSV-54-img-1</v>
      </c>
      <c r="C55" t="str">
        <f t="shared" ref="C55:C61" si="32">CONCATENATE(A55,"-img-",2)</f>
        <v>IT-CSV-54-img-2</v>
      </c>
      <c r="D55" t="str">
        <f t="shared" ref="D55:D61" si="33">CONCATENATE(A55,"-img-",3)</f>
        <v>IT-CSV-54-img-3</v>
      </c>
      <c r="E55" t="str">
        <f t="shared" ref="E55:E61" si="34">CONCATENATE(A55,"-img-",4)</f>
        <v>IT-CSV-54-img-4</v>
      </c>
      <c r="F55" t="str">
        <f t="shared" ref="F55:F61" si="35">CONCATENATE(A55,"-img-",5)</f>
        <v>IT-CSV-54-img-5</v>
      </c>
      <c r="G55" t="str">
        <f t="shared" ref="G55:G61" si="36">CONCATENATE(A55,"-img-",6)</f>
        <v>IT-CSV-54-img-6</v>
      </c>
      <c r="H55" t="str">
        <f t="shared" ref="H55:H61" si="37">CONCATENATE(A55,"-img-",7)</f>
        <v>IT-CSV-54-img-7</v>
      </c>
      <c r="I55" t="str">
        <f t="shared" ref="I55:I61" si="38">CONCATENATE(A55,"-img-",8)</f>
        <v>IT-CSV-54-img-8</v>
      </c>
      <c r="N55">
        <v>1</v>
      </c>
    </row>
    <row r="56" spans="1:14" ht="15" x14ac:dyDescent="0.25">
      <c r="A56" t="str">
        <f t="shared" si="9"/>
        <v>IT-CSV-55</v>
      </c>
      <c r="B56" t="str">
        <f t="shared" si="31"/>
        <v>IT-CSV-55-img-1</v>
      </c>
      <c r="C56" t="str">
        <f t="shared" si="32"/>
        <v>IT-CSV-55-img-2</v>
      </c>
      <c r="D56" t="str">
        <f t="shared" si="33"/>
        <v>IT-CSV-55-img-3</v>
      </c>
      <c r="E56" t="str">
        <f t="shared" si="34"/>
        <v>IT-CSV-55-img-4</v>
      </c>
      <c r="F56" t="str">
        <f t="shared" si="35"/>
        <v>IT-CSV-55-img-5</v>
      </c>
      <c r="G56" t="str">
        <f t="shared" si="36"/>
        <v>IT-CSV-55-img-6</v>
      </c>
      <c r="H56" t="str">
        <f t="shared" si="37"/>
        <v>IT-CSV-55-img-7</v>
      </c>
      <c r="I56" t="str">
        <f t="shared" si="38"/>
        <v>IT-CSV-55-img-8</v>
      </c>
      <c r="N56">
        <v>1</v>
      </c>
    </row>
    <row r="57" spans="1:14" ht="15" x14ac:dyDescent="0.25">
      <c r="A57" t="str">
        <f t="shared" si="9"/>
        <v>IT-CSV-56</v>
      </c>
      <c r="B57" t="str">
        <f t="shared" si="31"/>
        <v>IT-CSV-56-img-1</v>
      </c>
      <c r="C57" t="str">
        <f t="shared" si="32"/>
        <v>IT-CSV-56-img-2</v>
      </c>
      <c r="D57" t="str">
        <f t="shared" si="33"/>
        <v>IT-CSV-56-img-3</v>
      </c>
      <c r="E57" t="str">
        <f t="shared" si="34"/>
        <v>IT-CSV-56-img-4</v>
      </c>
      <c r="F57" t="str">
        <f t="shared" si="35"/>
        <v>IT-CSV-56-img-5</v>
      </c>
      <c r="G57" t="str">
        <f t="shared" si="36"/>
        <v>IT-CSV-56-img-6</v>
      </c>
      <c r="H57" t="str">
        <f t="shared" si="37"/>
        <v>IT-CSV-56-img-7</v>
      </c>
      <c r="I57" t="str">
        <f t="shared" si="38"/>
        <v>IT-CSV-56-img-8</v>
      </c>
      <c r="N57">
        <v>1</v>
      </c>
    </row>
    <row r="58" spans="1:14" ht="15" x14ac:dyDescent="0.25">
      <c r="A58" t="str">
        <f t="shared" si="9"/>
        <v>IT-CSV-57</v>
      </c>
      <c r="B58" t="str">
        <f t="shared" si="31"/>
        <v>IT-CSV-57-img-1</v>
      </c>
      <c r="C58" t="str">
        <f t="shared" si="32"/>
        <v>IT-CSV-57-img-2</v>
      </c>
      <c r="D58" t="str">
        <f t="shared" si="33"/>
        <v>IT-CSV-57-img-3</v>
      </c>
      <c r="E58" t="str">
        <f t="shared" si="34"/>
        <v>IT-CSV-57-img-4</v>
      </c>
      <c r="F58" t="str">
        <f t="shared" si="35"/>
        <v>IT-CSV-57-img-5</v>
      </c>
      <c r="G58" t="str">
        <f t="shared" si="36"/>
        <v>IT-CSV-57-img-6</v>
      </c>
      <c r="H58" t="str">
        <f t="shared" si="37"/>
        <v>IT-CSV-57-img-7</v>
      </c>
      <c r="I58" t="str">
        <f t="shared" si="38"/>
        <v>IT-CSV-57-img-8</v>
      </c>
      <c r="N58">
        <v>1</v>
      </c>
    </row>
    <row r="59" spans="1:14" ht="15" x14ac:dyDescent="0.25">
      <c r="A59" t="str">
        <f t="shared" si="9"/>
        <v>IT-CSV-58</v>
      </c>
      <c r="B59" t="str">
        <f t="shared" si="31"/>
        <v>IT-CSV-58-img-1</v>
      </c>
      <c r="C59" t="str">
        <f t="shared" si="32"/>
        <v>IT-CSV-58-img-2</v>
      </c>
      <c r="D59" t="str">
        <f t="shared" si="33"/>
        <v>IT-CSV-58-img-3</v>
      </c>
      <c r="E59" t="str">
        <f t="shared" si="34"/>
        <v>IT-CSV-58-img-4</v>
      </c>
      <c r="F59" t="str">
        <f t="shared" si="35"/>
        <v>IT-CSV-58-img-5</v>
      </c>
      <c r="G59" t="str">
        <f t="shared" si="36"/>
        <v>IT-CSV-58-img-6</v>
      </c>
      <c r="H59" t="str">
        <f t="shared" si="37"/>
        <v>IT-CSV-58-img-7</v>
      </c>
      <c r="I59" t="str">
        <f t="shared" si="38"/>
        <v>IT-CSV-58-img-8</v>
      </c>
      <c r="N59">
        <v>1</v>
      </c>
    </row>
    <row r="60" spans="1:14" ht="15" x14ac:dyDescent="0.25">
      <c r="A60" t="str">
        <f t="shared" si="9"/>
        <v>IT-CSV-59</v>
      </c>
      <c r="B60" t="str">
        <f t="shared" si="31"/>
        <v>IT-CSV-59-img-1</v>
      </c>
      <c r="C60" t="str">
        <f t="shared" si="32"/>
        <v>IT-CSV-59-img-2</v>
      </c>
      <c r="D60" t="str">
        <f t="shared" si="33"/>
        <v>IT-CSV-59-img-3</v>
      </c>
      <c r="E60" t="str">
        <f t="shared" si="34"/>
        <v>IT-CSV-59-img-4</v>
      </c>
      <c r="F60" t="str">
        <f t="shared" si="35"/>
        <v>IT-CSV-59-img-5</v>
      </c>
      <c r="G60" t="str">
        <f t="shared" si="36"/>
        <v>IT-CSV-59-img-6</v>
      </c>
      <c r="H60" t="str">
        <f t="shared" si="37"/>
        <v>IT-CSV-59-img-7</v>
      </c>
      <c r="I60" t="str">
        <f t="shared" si="38"/>
        <v>IT-CSV-59-img-8</v>
      </c>
      <c r="N60">
        <v>1</v>
      </c>
    </row>
    <row r="61" spans="1:14" ht="15" x14ac:dyDescent="0.25">
      <c r="A61" t="str">
        <f t="shared" si="9"/>
        <v>IT-CSV-60</v>
      </c>
      <c r="B61" t="str">
        <f t="shared" si="31"/>
        <v>IT-CSV-60-img-1</v>
      </c>
      <c r="C61" t="str">
        <f t="shared" si="32"/>
        <v>IT-CSV-60-img-2</v>
      </c>
      <c r="D61" t="str">
        <f t="shared" si="33"/>
        <v>IT-CSV-60-img-3</v>
      </c>
      <c r="E61" t="str">
        <f t="shared" si="34"/>
        <v>IT-CSV-60-img-4</v>
      </c>
      <c r="F61" t="str">
        <f t="shared" si="35"/>
        <v>IT-CSV-60-img-5</v>
      </c>
      <c r="G61" t="str">
        <f t="shared" si="36"/>
        <v>IT-CSV-60-img-6</v>
      </c>
      <c r="H61" t="str">
        <f t="shared" si="37"/>
        <v>IT-CSV-60-img-7</v>
      </c>
      <c r="I61" t="str">
        <f t="shared" si="38"/>
        <v>IT-CSV-60-img-8</v>
      </c>
      <c r="N61">
        <v>1</v>
      </c>
    </row>
    <row r="62" spans="1:14" ht="15" x14ac:dyDescent="0.25">
      <c r="A62"/>
    </row>
    <row r="63" spans="1:14" ht="15" x14ac:dyDescent="0.25">
      <c r="A63"/>
    </row>
    <row r="64" spans="1:14" ht="15" x14ac:dyDescent="0.25">
      <c r="A64"/>
    </row>
    <row r="65" spans="1:1" ht="15" x14ac:dyDescent="0.25">
      <c r="A65"/>
    </row>
    <row r="66" spans="1:1" ht="15" x14ac:dyDescent="0.25">
      <c r="A66"/>
    </row>
    <row r="67" spans="1:1" ht="15" x14ac:dyDescent="0.25">
      <c r="A67"/>
    </row>
    <row r="68" spans="1:1" ht="15" x14ac:dyDescent="0.25">
      <c r="A68"/>
    </row>
    <row r="69" spans="1:1" ht="15" x14ac:dyDescent="0.25">
      <c r="A69"/>
    </row>
    <row r="70" spans="1:1" ht="15" x14ac:dyDescent="0.25">
      <c r="A70"/>
    </row>
    <row r="71" spans="1:1" ht="15" x14ac:dyDescent="0.25">
      <c r="A71"/>
    </row>
    <row r="72" spans="1:1" ht="15" x14ac:dyDescent="0.25">
      <c r="A72"/>
    </row>
    <row r="73" spans="1:1" ht="15" x14ac:dyDescent="0.25">
      <c r="A73"/>
    </row>
    <row r="74" spans="1:1" ht="15" x14ac:dyDescent="0.25">
      <c r="A74"/>
    </row>
  </sheetData>
  <hyperlinks>
    <hyperlink ref="K2" r:id="rId1" display="https://www.jumia.com.eg/ar/realme/" xr:uid="{00000000-0004-0000-0000-000000000000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cp:keywords/>
  <dc:description/>
  <cp:lastModifiedBy>mohamed</cp:lastModifiedBy>
  <cp:revision/>
  <dcterms:created xsi:type="dcterms:W3CDTF">2015-06-05T18:17:20Z</dcterms:created>
  <dcterms:modified xsi:type="dcterms:W3CDTF">2021-12-24T18:15:46Z</dcterms:modified>
  <cp:category/>
  <cp:contentStatus/>
</cp:coreProperties>
</file>